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animesh/AACL-IJCNLP-main/human_eval/"/>
    </mc:Choice>
  </mc:AlternateContent>
  <xr:revisionPtr revIDLastSave="0" documentId="13_ncr:1_{41374D6A-F04E-8543-8A6C-24B67E1E392C}" xr6:coauthVersionLast="47" xr6:coauthVersionMax="47" xr10:uidLastSave="{00000000-0000-0000-0000-000000000000}"/>
  <bookViews>
    <workbookView xWindow="0" yWindow="660" windowWidth="29400" windowHeight="17120" xr2:uid="{00000000-000D-0000-FFFF-FFFF00000000}"/>
  </bookViews>
  <sheets>
    <sheet name="Dashboard" sheetId="1" r:id="rId1"/>
    <sheet name="Rubric" sheetId="3" r:id="rId2"/>
    <sheet name="Conditions" sheetId="4" r:id="rId3"/>
    <sheet name="Marker_Lexicon" sheetId="5" r:id="rId4"/>
    <sheet name="Generations" sheetId="6" r:id="rId5"/>
    <sheet name="Ratings_Long" sheetId="7" r:id="rId6"/>
    <sheet name="Item_Summary" sheetId="8" r:id="rId7"/>
    <sheet name="Validation" sheetId="9" r:id="rId8"/>
    <sheet name="Condition_Summary" sheetId="10"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93" i="8" l="1"/>
  <c r="K193" i="8"/>
  <c r="J193" i="8"/>
  <c r="I193" i="8"/>
  <c r="H193" i="8"/>
  <c r="G193" i="8"/>
  <c r="O193" i="8" s="1"/>
  <c r="L192" i="8"/>
  <c r="K192" i="8"/>
  <c r="J192" i="8"/>
  <c r="I192" i="8"/>
  <c r="H192" i="8"/>
  <c r="G192" i="8"/>
  <c r="O192" i="8" s="1"/>
  <c r="L191" i="8"/>
  <c r="K191" i="8"/>
  <c r="J191" i="8"/>
  <c r="I191" i="8"/>
  <c r="H191" i="8"/>
  <c r="G191" i="8"/>
  <c r="O191" i="8" s="1"/>
  <c r="L190" i="8"/>
  <c r="K190" i="8"/>
  <c r="J190" i="8"/>
  <c r="I190" i="8"/>
  <c r="H190" i="8"/>
  <c r="G190" i="8"/>
  <c r="O190" i="8" s="1"/>
  <c r="L189" i="8"/>
  <c r="K189" i="8"/>
  <c r="J189" i="8"/>
  <c r="I189" i="8"/>
  <c r="H189" i="8"/>
  <c r="G189" i="8"/>
  <c r="O189" i="8" s="1"/>
  <c r="N188" i="8"/>
  <c r="L188" i="8"/>
  <c r="K188" i="8"/>
  <c r="J188" i="8"/>
  <c r="I188" i="8"/>
  <c r="H188" i="8"/>
  <c r="G188" i="8"/>
  <c r="O188" i="8" s="1"/>
  <c r="L187" i="8"/>
  <c r="K187" i="8"/>
  <c r="J187" i="8"/>
  <c r="I187" i="8"/>
  <c r="H187" i="8"/>
  <c r="G187" i="8"/>
  <c r="L186" i="8"/>
  <c r="K186" i="8"/>
  <c r="J186" i="8"/>
  <c r="I186" i="8"/>
  <c r="H186" i="8"/>
  <c r="G186" i="8"/>
  <c r="L185" i="8"/>
  <c r="K185" i="8"/>
  <c r="J185" i="8"/>
  <c r="I185" i="8"/>
  <c r="H185" i="8"/>
  <c r="G185" i="8"/>
  <c r="O185" i="8" s="1"/>
  <c r="L184" i="8"/>
  <c r="K184" i="8"/>
  <c r="J184" i="8"/>
  <c r="I184" i="8"/>
  <c r="H184" i="8"/>
  <c r="G184" i="8"/>
  <c r="O184" i="8" s="1"/>
  <c r="L183" i="8"/>
  <c r="K183" i="8"/>
  <c r="J183" i="8"/>
  <c r="I183" i="8"/>
  <c r="H183" i="8"/>
  <c r="G183" i="8"/>
  <c r="O183" i="8" s="1"/>
  <c r="L182" i="8"/>
  <c r="K182" i="8"/>
  <c r="J182" i="8"/>
  <c r="I182" i="8"/>
  <c r="H182" i="8"/>
  <c r="G182" i="8"/>
  <c r="O182" i="8" s="1"/>
  <c r="L181" i="8"/>
  <c r="K181" i="8"/>
  <c r="J181" i="8"/>
  <c r="I181" i="8"/>
  <c r="H181" i="8"/>
  <c r="M181" i="8" s="1"/>
  <c r="G181" i="8"/>
  <c r="O181" i="8" s="1"/>
  <c r="L180" i="8"/>
  <c r="K180" i="8"/>
  <c r="J180" i="8"/>
  <c r="I180" i="8"/>
  <c r="H180" i="8"/>
  <c r="G180" i="8"/>
  <c r="O180" i="8" s="1"/>
  <c r="L179" i="8"/>
  <c r="K179" i="8"/>
  <c r="J179" i="8"/>
  <c r="I179" i="8"/>
  <c r="H179" i="8"/>
  <c r="G179" i="8"/>
  <c r="M179" i="8" s="1"/>
  <c r="L178" i="8"/>
  <c r="K178" i="8"/>
  <c r="J178" i="8"/>
  <c r="I178" i="8"/>
  <c r="H178" i="8"/>
  <c r="M178" i="8" s="1"/>
  <c r="G178" i="8"/>
  <c r="L177" i="8"/>
  <c r="K177" i="8"/>
  <c r="J177" i="8"/>
  <c r="I177" i="8"/>
  <c r="H177" i="8"/>
  <c r="G177" i="8"/>
  <c r="O177" i="8" s="1"/>
  <c r="L176" i="8"/>
  <c r="K176" i="8"/>
  <c r="J176" i="8"/>
  <c r="I176" i="8"/>
  <c r="H176" i="8"/>
  <c r="G176" i="8"/>
  <c r="O176" i="8" s="1"/>
  <c r="L175" i="8"/>
  <c r="K175" i="8"/>
  <c r="J175" i="8"/>
  <c r="I175" i="8"/>
  <c r="H175" i="8"/>
  <c r="N175" i="8" s="1"/>
  <c r="G175" i="8"/>
  <c r="O175" i="8" s="1"/>
  <c r="L174" i="8"/>
  <c r="K174" i="8"/>
  <c r="J174" i="8"/>
  <c r="I174" i="8"/>
  <c r="H174" i="8"/>
  <c r="G174" i="8"/>
  <c r="O174" i="8" s="1"/>
  <c r="L173" i="8"/>
  <c r="K173" i="8"/>
  <c r="J173" i="8"/>
  <c r="I173" i="8"/>
  <c r="H173" i="8"/>
  <c r="G173" i="8"/>
  <c r="O173" i="8" s="1"/>
  <c r="N172" i="8"/>
  <c r="L172" i="8"/>
  <c r="K172" i="8"/>
  <c r="J172" i="8"/>
  <c r="I172" i="8"/>
  <c r="H172" i="8"/>
  <c r="G172" i="8"/>
  <c r="O172" i="8" s="1"/>
  <c r="L171" i="8"/>
  <c r="K171" i="8"/>
  <c r="J171" i="8"/>
  <c r="I171" i="8"/>
  <c r="H171" i="8"/>
  <c r="G171" i="8"/>
  <c r="M171" i="8" s="1"/>
  <c r="L170" i="8"/>
  <c r="K170" i="8"/>
  <c r="J170" i="8"/>
  <c r="I170" i="8"/>
  <c r="H170" i="8"/>
  <c r="G170" i="8"/>
  <c r="L169" i="8"/>
  <c r="K169" i="8"/>
  <c r="J169" i="8"/>
  <c r="I169" i="8"/>
  <c r="H169" i="8"/>
  <c r="G169" i="8"/>
  <c r="O169" i="8" s="1"/>
  <c r="L168" i="8"/>
  <c r="K168" i="8"/>
  <c r="J168" i="8"/>
  <c r="I168" i="8"/>
  <c r="H168" i="8"/>
  <c r="G168" i="8"/>
  <c r="O168" i="8" s="1"/>
  <c r="L167" i="8"/>
  <c r="K167" i="8"/>
  <c r="J167" i="8"/>
  <c r="I167" i="8"/>
  <c r="H167" i="8"/>
  <c r="G167" i="8"/>
  <c r="O167" i="8" s="1"/>
  <c r="L166" i="8"/>
  <c r="K166" i="8"/>
  <c r="J166" i="8"/>
  <c r="I166" i="8"/>
  <c r="H166" i="8"/>
  <c r="G166" i="8"/>
  <c r="O166" i="8" s="1"/>
  <c r="L165" i="8"/>
  <c r="K165" i="8"/>
  <c r="J165" i="8"/>
  <c r="M165" i="8" s="1"/>
  <c r="I165" i="8"/>
  <c r="H165" i="8"/>
  <c r="G165" i="8"/>
  <c r="O165" i="8" s="1"/>
  <c r="L164" i="8"/>
  <c r="K164" i="8"/>
  <c r="J164" i="8"/>
  <c r="I164" i="8"/>
  <c r="H164" i="8"/>
  <c r="G164" i="8"/>
  <c r="O164" i="8" s="1"/>
  <c r="L163" i="8"/>
  <c r="K163" i="8"/>
  <c r="J163" i="8"/>
  <c r="I163" i="8"/>
  <c r="H163" i="8"/>
  <c r="G163" i="8"/>
  <c r="M163" i="8" s="1"/>
  <c r="L162" i="8"/>
  <c r="K162" i="8"/>
  <c r="J162" i="8"/>
  <c r="I162" i="8"/>
  <c r="H162" i="8"/>
  <c r="M162" i="8" s="1"/>
  <c r="G162" i="8"/>
  <c r="L161" i="8"/>
  <c r="K161" i="8"/>
  <c r="J161" i="8"/>
  <c r="I161" i="8"/>
  <c r="H161" i="8"/>
  <c r="G161" i="8"/>
  <c r="O161" i="8" s="1"/>
  <c r="L160" i="8"/>
  <c r="K160" i="8"/>
  <c r="J160" i="8"/>
  <c r="I160" i="8"/>
  <c r="H160" i="8"/>
  <c r="G160" i="8"/>
  <c r="O160" i="8" s="1"/>
  <c r="L159" i="8"/>
  <c r="K159" i="8"/>
  <c r="J159" i="8"/>
  <c r="I159" i="8"/>
  <c r="H159" i="8"/>
  <c r="N159" i="8" s="1"/>
  <c r="G159" i="8"/>
  <c r="O159" i="8" s="1"/>
  <c r="L158" i="8"/>
  <c r="K158" i="8"/>
  <c r="J158" i="8"/>
  <c r="I158" i="8"/>
  <c r="H158" i="8"/>
  <c r="G158" i="8"/>
  <c r="O158" i="8" s="1"/>
  <c r="L157" i="8"/>
  <c r="K157" i="8"/>
  <c r="J157" i="8"/>
  <c r="I157" i="8"/>
  <c r="H157" i="8"/>
  <c r="G157" i="8"/>
  <c r="O157" i="8" s="1"/>
  <c r="N156" i="8"/>
  <c r="L156" i="8"/>
  <c r="K156" i="8"/>
  <c r="J156" i="8"/>
  <c r="I156" i="8"/>
  <c r="H156" i="8"/>
  <c r="G156" i="8"/>
  <c r="O156" i="8" s="1"/>
  <c r="L155" i="8"/>
  <c r="K155" i="8"/>
  <c r="J155" i="8"/>
  <c r="I155" i="8"/>
  <c r="H155" i="8"/>
  <c r="G155" i="8"/>
  <c r="M155" i="8" s="1"/>
  <c r="L154" i="8"/>
  <c r="K154" i="8"/>
  <c r="J154" i="8"/>
  <c r="I154" i="8"/>
  <c r="H154" i="8"/>
  <c r="G154" i="8"/>
  <c r="L153" i="8"/>
  <c r="K153" i="8"/>
  <c r="J153" i="8"/>
  <c r="I153" i="8"/>
  <c r="H153" i="8"/>
  <c r="G153" i="8"/>
  <c r="O153" i="8" s="1"/>
  <c r="L152" i="8"/>
  <c r="K152" i="8"/>
  <c r="J152" i="8"/>
  <c r="I152" i="8"/>
  <c r="H152" i="8"/>
  <c r="G152" i="8"/>
  <c r="O152" i="8" s="1"/>
  <c r="L151" i="8"/>
  <c r="K151" i="8"/>
  <c r="J151" i="8"/>
  <c r="I151" i="8"/>
  <c r="H151" i="8"/>
  <c r="N151" i="8" s="1"/>
  <c r="G151" i="8"/>
  <c r="O151" i="8" s="1"/>
  <c r="L150" i="8"/>
  <c r="K150" i="8"/>
  <c r="J150" i="8"/>
  <c r="I150" i="8"/>
  <c r="H150" i="8"/>
  <c r="G150" i="8"/>
  <c r="O150" i="8" s="1"/>
  <c r="M149" i="8"/>
  <c r="L149" i="8"/>
  <c r="K149" i="8"/>
  <c r="J149" i="8"/>
  <c r="I149" i="8"/>
  <c r="H149" i="8"/>
  <c r="G149" i="8"/>
  <c r="O149" i="8" s="1"/>
  <c r="N148" i="8"/>
  <c r="L148" i="8"/>
  <c r="K148" i="8"/>
  <c r="J148" i="8"/>
  <c r="I148" i="8"/>
  <c r="H148" i="8"/>
  <c r="G148" i="8"/>
  <c r="O148" i="8" s="1"/>
  <c r="L147" i="8"/>
  <c r="K147" i="8"/>
  <c r="J147" i="8"/>
  <c r="I147" i="8"/>
  <c r="H147" i="8"/>
  <c r="G147" i="8"/>
  <c r="L146" i="8"/>
  <c r="K146" i="8"/>
  <c r="J146" i="8"/>
  <c r="I146" i="8"/>
  <c r="H146" i="8"/>
  <c r="G146" i="8"/>
  <c r="L145" i="8"/>
  <c r="K145" i="8"/>
  <c r="J145" i="8"/>
  <c r="I145" i="8"/>
  <c r="H145" i="8"/>
  <c r="G145" i="8"/>
  <c r="O145" i="8" s="1"/>
  <c r="L144" i="8"/>
  <c r="K144" i="8"/>
  <c r="J144" i="8"/>
  <c r="I144" i="8"/>
  <c r="H144" i="8"/>
  <c r="G144" i="8"/>
  <c r="O144" i="8" s="1"/>
  <c r="L143" i="8"/>
  <c r="K143" i="8"/>
  <c r="J143" i="8"/>
  <c r="I143" i="8"/>
  <c r="H143" i="8"/>
  <c r="M143" i="8" s="1"/>
  <c r="G143" i="8"/>
  <c r="O143" i="8" s="1"/>
  <c r="L142" i="8"/>
  <c r="K142" i="8"/>
  <c r="J142" i="8"/>
  <c r="I142" i="8"/>
  <c r="H142" i="8"/>
  <c r="G142" i="8"/>
  <c r="O142" i="8" s="1"/>
  <c r="L141" i="8"/>
  <c r="K141" i="8"/>
  <c r="J141" i="8"/>
  <c r="I141" i="8"/>
  <c r="H141" i="8"/>
  <c r="G141" i="8"/>
  <c r="O141" i="8" s="1"/>
  <c r="L140" i="8"/>
  <c r="K140" i="8"/>
  <c r="J140" i="8"/>
  <c r="I140" i="8"/>
  <c r="H140" i="8"/>
  <c r="N140" i="8" s="1"/>
  <c r="G140" i="8"/>
  <c r="O140" i="8" s="1"/>
  <c r="L139" i="8"/>
  <c r="K139" i="8"/>
  <c r="J139" i="8"/>
  <c r="I139" i="8"/>
  <c r="H139" i="8"/>
  <c r="G139" i="8"/>
  <c r="M139" i="8" s="1"/>
  <c r="L138" i="8"/>
  <c r="K138" i="8"/>
  <c r="J138" i="8"/>
  <c r="I138" i="8"/>
  <c r="H138" i="8"/>
  <c r="G138" i="8"/>
  <c r="N138" i="8" s="1"/>
  <c r="L137" i="8"/>
  <c r="K137" i="8"/>
  <c r="J137" i="8"/>
  <c r="I137" i="8"/>
  <c r="H137" i="8"/>
  <c r="G137" i="8"/>
  <c r="O137" i="8" s="1"/>
  <c r="L136" i="8"/>
  <c r="K136" i="8"/>
  <c r="J136" i="8"/>
  <c r="I136" i="8"/>
  <c r="H136" i="8"/>
  <c r="G136" i="8"/>
  <c r="O136" i="8" s="1"/>
  <c r="L135" i="8"/>
  <c r="K135" i="8"/>
  <c r="J135" i="8"/>
  <c r="I135" i="8"/>
  <c r="H135" i="8"/>
  <c r="N135" i="8" s="1"/>
  <c r="G135" i="8"/>
  <c r="O135" i="8" s="1"/>
  <c r="L134" i="8"/>
  <c r="K134" i="8"/>
  <c r="J134" i="8"/>
  <c r="I134" i="8"/>
  <c r="H134" i="8"/>
  <c r="G134" i="8"/>
  <c r="O134" i="8" s="1"/>
  <c r="L133" i="8"/>
  <c r="K133" i="8"/>
  <c r="J133" i="8"/>
  <c r="I133" i="8"/>
  <c r="H133" i="8"/>
  <c r="G133" i="8"/>
  <c r="O133" i="8" s="1"/>
  <c r="L132" i="8"/>
  <c r="K132" i="8"/>
  <c r="J132" i="8"/>
  <c r="I132" i="8"/>
  <c r="H132" i="8"/>
  <c r="G132" i="8"/>
  <c r="O132" i="8" s="1"/>
  <c r="L131" i="8"/>
  <c r="K131" i="8"/>
  <c r="J131" i="8"/>
  <c r="I131" i="8"/>
  <c r="H131" i="8"/>
  <c r="G131" i="8"/>
  <c r="L130" i="8"/>
  <c r="K130" i="8"/>
  <c r="J130" i="8"/>
  <c r="I130" i="8"/>
  <c r="H130" i="8"/>
  <c r="G130" i="8"/>
  <c r="N130" i="8" s="1"/>
  <c r="L129" i="8"/>
  <c r="K129" i="8"/>
  <c r="J129" i="8"/>
  <c r="I129" i="8"/>
  <c r="H129" i="8"/>
  <c r="G129" i="8"/>
  <c r="O129" i="8" s="1"/>
  <c r="L128" i="8"/>
  <c r="K128" i="8"/>
  <c r="J128" i="8"/>
  <c r="I128" i="8"/>
  <c r="H128" i="8"/>
  <c r="G128" i="8"/>
  <c r="O128" i="8" s="1"/>
  <c r="L127" i="8"/>
  <c r="K127" i="8"/>
  <c r="J127" i="8"/>
  <c r="I127" i="8"/>
  <c r="H127" i="8"/>
  <c r="G127" i="8"/>
  <c r="O127" i="8" s="1"/>
  <c r="L126" i="8"/>
  <c r="K126" i="8"/>
  <c r="J126" i="8"/>
  <c r="I126" i="8"/>
  <c r="N126" i="8" s="1"/>
  <c r="H126" i="8"/>
  <c r="G126" i="8"/>
  <c r="O126" i="8" s="1"/>
  <c r="L125" i="8"/>
  <c r="K125" i="8"/>
  <c r="J125" i="8"/>
  <c r="I125" i="8"/>
  <c r="H125" i="8"/>
  <c r="G125" i="8"/>
  <c r="O125" i="8" s="1"/>
  <c r="L124" i="8"/>
  <c r="K124" i="8"/>
  <c r="J124" i="8"/>
  <c r="I124" i="8"/>
  <c r="H124" i="8"/>
  <c r="N124" i="8" s="1"/>
  <c r="G124" i="8"/>
  <c r="O124" i="8" s="1"/>
  <c r="L123" i="8"/>
  <c r="K123" i="8"/>
  <c r="J123" i="8"/>
  <c r="I123" i="8"/>
  <c r="H123" i="8"/>
  <c r="G123" i="8"/>
  <c r="L122" i="8"/>
  <c r="K122" i="8"/>
  <c r="J122" i="8"/>
  <c r="I122" i="8"/>
  <c r="H122" i="8"/>
  <c r="G122" i="8"/>
  <c r="L121" i="8"/>
  <c r="K121" i="8"/>
  <c r="J121" i="8"/>
  <c r="I121" i="8"/>
  <c r="H121" i="8"/>
  <c r="M121" i="8" s="1"/>
  <c r="G121" i="8"/>
  <c r="O121" i="8" s="1"/>
  <c r="L120" i="8"/>
  <c r="K120" i="8"/>
  <c r="J120" i="8"/>
  <c r="I120" i="8"/>
  <c r="H120" i="8"/>
  <c r="G120" i="8"/>
  <c r="O120" i="8" s="1"/>
  <c r="M119" i="8"/>
  <c r="L119" i="8"/>
  <c r="K119" i="8"/>
  <c r="J119" i="8"/>
  <c r="I119" i="8"/>
  <c r="H119" i="8"/>
  <c r="G119" i="8"/>
  <c r="O119" i="8" s="1"/>
  <c r="M118" i="8"/>
  <c r="L118" i="8"/>
  <c r="K118" i="8"/>
  <c r="J118" i="8"/>
  <c r="I118" i="8"/>
  <c r="H118" i="8"/>
  <c r="G118" i="8"/>
  <c r="O118" i="8" s="1"/>
  <c r="L117" i="8"/>
  <c r="K117" i="8"/>
  <c r="J117" i="8"/>
  <c r="I117" i="8"/>
  <c r="H117" i="8"/>
  <c r="G117" i="8"/>
  <c r="O117" i="8" s="1"/>
  <c r="L116" i="8"/>
  <c r="K116" i="8"/>
  <c r="J116" i="8"/>
  <c r="I116" i="8"/>
  <c r="H116" i="8"/>
  <c r="G116" i="8"/>
  <c r="O116" i="8" s="1"/>
  <c r="L115" i="8"/>
  <c r="K115" i="8"/>
  <c r="J115" i="8"/>
  <c r="I115" i="8"/>
  <c r="H115" i="8"/>
  <c r="G115" i="8"/>
  <c r="M115" i="8" s="1"/>
  <c r="L114" i="8"/>
  <c r="K114" i="8"/>
  <c r="J114" i="8"/>
  <c r="I114" i="8"/>
  <c r="H114" i="8"/>
  <c r="G114" i="8"/>
  <c r="N114" i="8" s="1"/>
  <c r="L113" i="8"/>
  <c r="K113" i="8"/>
  <c r="J113" i="8"/>
  <c r="I113" i="8"/>
  <c r="H113" i="8"/>
  <c r="G113" i="8"/>
  <c r="O113" i="8" s="1"/>
  <c r="L112" i="8"/>
  <c r="K112" i="8"/>
  <c r="J112" i="8"/>
  <c r="I112" i="8"/>
  <c r="H112" i="8"/>
  <c r="G112" i="8"/>
  <c r="O112" i="8" s="1"/>
  <c r="L111" i="8"/>
  <c r="K111" i="8"/>
  <c r="J111" i="8"/>
  <c r="I111" i="8"/>
  <c r="H111" i="8"/>
  <c r="N111" i="8" s="1"/>
  <c r="G111" i="8"/>
  <c r="O111" i="8" s="1"/>
  <c r="L110" i="8"/>
  <c r="K110" i="8"/>
  <c r="J110" i="8"/>
  <c r="I110" i="8"/>
  <c r="H110" i="8"/>
  <c r="G110" i="8"/>
  <c r="O110" i="8" s="1"/>
  <c r="L109" i="8"/>
  <c r="K109" i="8"/>
  <c r="J109" i="8"/>
  <c r="I109" i="8"/>
  <c r="H109" i="8"/>
  <c r="G109" i="8"/>
  <c r="O109" i="8" s="1"/>
  <c r="L108" i="8"/>
  <c r="K108" i="8"/>
  <c r="J108" i="8"/>
  <c r="I108" i="8"/>
  <c r="H108" i="8"/>
  <c r="G108" i="8"/>
  <c r="O108" i="8" s="1"/>
  <c r="L107" i="8"/>
  <c r="K107" i="8"/>
  <c r="J107" i="8"/>
  <c r="I107" i="8"/>
  <c r="H107" i="8"/>
  <c r="G107" i="8"/>
  <c r="L106" i="8"/>
  <c r="K106" i="8"/>
  <c r="J106" i="8"/>
  <c r="I106" i="8"/>
  <c r="H106" i="8"/>
  <c r="M106" i="8" s="1"/>
  <c r="G106" i="8"/>
  <c r="L105" i="8"/>
  <c r="K105" i="8"/>
  <c r="J105" i="8"/>
  <c r="I105" i="8"/>
  <c r="H105" i="8"/>
  <c r="M105" i="8" s="1"/>
  <c r="G105" i="8"/>
  <c r="O105" i="8" s="1"/>
  <c r="M104" i="8"/>
  <c r="L104" i="8"/>
  <c r="K104" i="8"/>
  <c r="J104" i="8"/>
  <c r="I104" i="8"/>
  <c r="H104" i="8"/>
  <c r="G104" i="8"/>
  <c r="O104" i="8" s="1"/>
  <c r="M103" i="8"/>
  <c r="L103" i="8"/>
  <c r="K103" i="8"/>
  <c r="J103" i="8"/>
  <c r="I103" i="8"/>
  <c r="H103" i="8"/>
  <c r="G103" i="8"/>
  <c r="O103" i="8" s="1"/>
  <c r="L102" i="8"/>
  <c r="K102" i="8"/>
  <c r="J102" i="8"/>
  <c r="I102" i="8"/>
  <c r="H102" i="8"/>
  <c r="N102" i="8" s="1"/>
  <c r="G102" i="8"/>
  <c r="O102" i="8" s="1"/>
  <c r="L101" i="8"/>
  <c r="K101" i="8"/>
  <c r="J101" i="8"/>
  <c r="I101" i="8"/>
  <c r="H101" i="8"/>
  <c r="G101" i="8"/>
  <c r="O101" i="8" s="1"/>
  <c r="L100" i="8"/>
  <c r="K100" i="8"/>
  <c r="J100" i="8"/>
  <c r="I100" i="8"/>
  <c r="H100" i="8"/>
  <c r="G100" i="8"/>
  <c r="O100" i="8" s="1"/>
  <c r="L99" i="8"/>
  <c r="K99" i="8"/>
  <c r="J99" i="8"/>
  <c r="I99" i="8"/>
  <c r="H99" i="8"/>
  <c r="G99" i="8"/>
  <c r="L98" i="8"/>
  <c r="K98" i="8"/>
  <c r="J98" i="8"/>
  <c r="I98" i="8"/>
  <c r="H98" i="8"/>
  <c r="M98" i="8" s="1"/>
  <c r="G98" i="8"/>
  <c r="L97" i="8"/>
  <c r="K97" i="8"/>
  <c r="J97" i="8"/>
  <c r="I97" i="8"/>
  <c r="H97" i="8"/>
  <c r="G97" i="8"/>
  <c r="O97" i="8" s="1"/>
  <c r="L96" i="8"/>
  <c r="K96" i="8"/>
  <c r="J96" i="8"/>
  <c r="I96" i="8"/>
  <c r="H96" i="8"/>
  <c r="M96" i="8" s="1"/>
  <c r="G96" i="8"/>
  <c r="O96" i="8" s="1"/>
  <c r="L95" i="8"/>
  <c r="K95" i="8"/>
  <c r="J95" i="8"/>
  <c r="I95" i="8"/>
  <c r="H95" i="8"/>
  <c r="M95" i="8" s="1"/>
  <c r="G95" i="8"/>
  <c r="O95" i="8" s="1"/>
  <c r="L94" i="8"/>
  <c r="K94" i="8"/>
  <c r="J94" i="8"/>
  <c r="I94" i="8"/>
  <c r="H94" i="8"/>
  <c r="G94" i="8"/>
  <c r="O94" i="8" s="1"/>
  <c r="L93" i="8"/>
  <c r="K93" i="8"/>
  <c r="J93" i="8"/>
  <c r="I93" i="8"/>
  <c r="H93" i="8"/>
  <c r="G93" i="8"/>
  <c r="O93" i="8" s="1"/>
  <c r="L92" i="8"/>
  <c r="K92" i="8"/>
  <c r="J92" i="8"/>
  <c r="I92" i="8"/>
  <c r="H92" i="8"/>
  <c r="G92" i="8"/>
  <c r="O92" i="8" s="1"/>
  <c r="L91" i="8"/>
  <c r="K91" i="8"/>
  <c r="J91" i="8"/>
  <c r="I91" i="8"/>
  <c r="H91" i="8"/>
  <c r="G91" i="8"/>
  <c r="L90" i="8"/>
  <c r="K90" i="8"/>
  <c r="J90" i="8"/>
  <c r="I90" i="8"/>
  <c r="H90" i="8"/>
  <c r="M90" i="8" s="1"/>
  <c r="G90" i="8"/>
  <c r="L89" i="8"/>
  <c r="K89" i="8"/>
  <c r="J89" i="8"/>
  <c r="I89" i="8"/>
  <c r="H89" i="8"/>
  <c r="M89" i="8" s="1"/>
  <c r="G89" i="8"/>
  <c r="O89" i="8" s="1"/>
  <c r="M88" i="8"/>
  <c r="L88" i="8"/>
  <c r="K88" i="8"/>
  <c r="J88" i="8"/>
  <c r="I88" i="8"/>
  <c r="H88" i="8"/>
  <c r="G88" i="8"/>
  <c r="O88" i="8" s="1"/>
  <c r="L87" i="8"/>
  <c r="N87" i="8" s="1"/>
  <c r="K87" i="8"/>
  <c r="J87" i="8"/>
  <c r="I87" i="8"/>
  <c r="H87" i="8"/>
  <c r="M87" i="8" s="1"/>
  <c r="G87" i="8"/>
  <c r="O87" i="8" s="1"/>
  <c r="L86" i="8"/>
  <c r="K86" i="8"/>
  <c r="N86" i="8" s="1"/>
  <c r="J86" i="8"/>
  <c r="I86" i="8"/>
  <c r="H86" i="8"/>
  <c r="M86" i="8" s="1"/>
  <c r="G86" i="8"/>
  <c r="O86" i="8" s="1"/>
  <c r="L85" i="8"/>
  <c r="K85" i="8"/>
  <c r="J85" i="8"/>
  <c r="I85" i="8"/>
  <c r="H85" i="8"/>
  <c r="G85" i="8"/>
  <c r="O85" i="8" s="1"/>
  <c r="L84" i="8"/>
  <c r="K84" i="8"/>
  <c r="J84" i="8"/>
  <c r="I84" i="8"/>
  <c r="H84" i="8"/>
  <c r="G84" i="8"/>
  <c r="O84" i="8" s="1"/>
  <c r="L83" i="8"/>
  <c r="K83" i="8"/>
  <c r="J83" i="8"/>
  <c r="I83" i="8"/>
  <c r="H83" i="8"/>
  <c r="G83" i="8"/>
  <c r="L82" i="8"/>
  <c r="K82" i="8"/>
  <c r="J82" i="8"/>
  <c r="I82" i="8"/>
  <c r="H82" i="8"/>
  <c r="G82" i="8"/>
  <c r="L81" i="8"/>
  <c r="K81" i="8"/>
  <c r="J81" i="8"/>
  <c r="I81" i="8"/>
  <c r="M81" i="8" s="1"/>
  <c r="H81" i="8"/>
  <c r="G81" i="8"/>
  <c r="O81" i="8" s="1"/>
  <c r="L80" i="8"/>
  <c r="K80" i="8"/>
  <c r="J80" i="8"/>
  <c r="I80" i="8"/>
  <c r="H80" i="8"/>
  <c r="G80" i="8"/>
  <c r="O80" i="8" s="1"/>
  <c r="L79" i="8"/>
  <c r="K79" i="8"/>
  <c r="J79" i="8"/>
  <c r="I79" i="8"/>
  <c r="H79" i="8"/>
  <c r="G79" i="8"/>
  <c r="O79" i="8" s="1"/>
  <c r="N78" i="8"/>
  <c r="L78" i="8"/>
  <c r="K78" i="8"/>
  <c r="J78" i="8"/>
  <c r="I78" i="8"/>
  <c r="H78" i="8"/>
  <c r="G78" i="8"/>
  <c r="O78" i="8" s="1"/>
  <c r="L77" i="8"/>
  <c r="K77" i="8"/>
  <c r="J77" i="8"/>
  <c r="I77" i="8"/>
  <c r="H77" i="8"/>
  <c r="G77" i="8"/>
  <c r="O77" i="8" s="1"/>
  <c r="L76" i="8"/>
  <c r="K76" i="8"/>
  <c r="J76" i="8"/>
  <c r="I76" i="8"/>
  <c r="H76" i="8"/>
  <c r="G76" i="8"/>
  <c r="O76" i="8" s="1"/>
  <c r="L75" i="8"/>
  <c r="K75" i="8"/>
  <c r="J75" i="8"/>
  <c r="I75" i="8"/>
  <c r="H75" i="8"/>
  <c r="G75" i="8"/>
  <c r="L74" i="8"/>
  <c r="K74" i="8"/>
  <c r="J74" i="8"/>
  <c r="I74" i="8"/>
  <c r="H74" i="8"/>
  <c r="G74" i="8"/>
  <c r="N74" i="8" s="1"/>
  <c r="L73" i="8"/>
  <c r="K73" i="8"/>
  <c r="J73" i="8"/>
  <c r="I73" i="8"/>
  <c r="H73" i="8"/>
  <c r="G73" i="8"/>
  <c r="O73" i="8" s="1"/>
  <c r="L72" i="8"/>
  <c r="K72" i="8"/>
  <c r="J72" i="8"/>
  <c r="I72" i="8"/>
  <c r="H72" i="8"/>
  <c r="G72" i="8"/>
  <c r="O72" i="8" s="1"/>
  <c r="L71" i="8"/>
  <c r="K71" i="8"/>
  <c r="J71" i="8"/>
  <c r="I71" i="8"/>
  <c r="M71" i="8" s="1"/>
  <c r="H71" i="8"/>
  <c r="G71" i="8"/>
  <c r="O71" i="8" s="1"/>
  <c r="L70" i="8"/>
  <c r="K70" i="8"/>
  <c r="J70" i="8"/>
  <c r="I70" i="8"/>
  <c r="H70" i="8"/>
  <c r="N70" i="8" s="1"/>
  <c r="G70" i="8"/>
  <c r="O70" i="8" s="1"/>
  <c r="L69" i="8"/>
  <c r="K69" i="8"/>
  <c r="J69" i="8"/>
  <c r="I69" i="8"/>
  <c r="H69" i="8"/>
  <c r="G69" i="8"/>
  <c r="O69" i="8" s="1"/>
  <c r="L68" i="8"/>
  <c r="K68" i="8"/>
  <c r="J68" i="8"/>
  <c r="I68" i="8"/>
  <c r="H68" i="8"/>
  <c r="G68" i="8"/>
  <c r="O68" i="8" s="1"/>
  <c r="L67" i="8"/>
  <c r="K67" i="8"/>
  <c r="J67" i="8"/>
  <c r="I67" i="8"/>
  <c r="H67" i="8"/>
  <c r="G67" i="8"/>
  <c r="L66" i="8"/>
  <c r="K66" i="8"/>
  <c r="J66" i="8"/>
  <c r="I66" i="8"/>
  <c r="H66" i="8"/>
  <c r="G66" i="8"/>
  <c r="L65" i="8"/>
  <c r="K65" i="8"/>
  <c r="J65" i="8"/>
  <c r="I65" i="8"/>
  <c r="H65" i="8"/>
  <c r="G65" i="8"/>
  <c r="O65" i="8" s="1"/>
  <c r="L64" i="8"/>
  <c r="K64" i="8"/>
  <c r="J64" i="8"/>
  <c r="I64" i="8"/>
  <c r="H64" i="8"/>
  <c r="G64" i="8"/>
  <c r="O64" i="8" s="1"/>
  <c r="L63" i="8"/>
  <c r="K63" i="8"/>
  <c r="J63" i="8"/>
  <c r="I63" i="8"/>
  <c r="H63" i="8"/>
  <c r="M63" i="8" s="1"/>
  <c r="G63" i="8"/>
  <c r="O63" i="8" s="1"/>
  <c r="L62" i="8"/>
  <c r="K62" i="8"/>
  <c r="N62" i="8" s="1"/>
  <c r="J62" i="8"/>
  <c r="I62" i="8"/>
  <c r="H62" i="8"/>
  <c r="M62" i="8" s="1"/>
  <c r="G62" i="8"/>
  <c r="O62" i="8" s="1"/>
  <c r="L61" i="8"/>
  <c r="K61" i="8"/>
  <c r="J61" i="8"/>
  <c r="I61" i="8"/>
  <c r="H61" i="8"/>
  <c r="G61" i="8"/>
  <c r="O61" i="8" s="1"/>
  <c r="L60" i="8"/>
  <c r="K60" i="8"/>
  <c r="J60" i="8"/>
  <c r="I60" i="8"/>
  <c r="H60" i="8"/>
  <c r="G60" i="8"/>
  <c r="O60" i="8" s="1"/>
  <c r="L59" i="8"/>
  <c r="K59" i="8"/>
  <c r="J59" i="8"/>
  <c r="I59" i="8"/>
  <c r="H59" i="8"/>
  <c r="G59" i="8"/>
  <c r="O59" i="8" s="1"/>
  <c r="L58" i="8"/>
  <c r="K58" i="8"/>
  <c r="J58" i="8"/>
  <c r="I58" i="8"/>
  <c r="H58" i="8"/>
  <c r="G58" i="8"/>
  <c r="O58" i="8" s="1"/>
  <c r="L57" i="8"/>
  <c r="K57" i="8"/>
  <c r="J57" i="8"/>
  <c r="I57" i="8"/>
  <c r="H57" i="8"/>
  <c r="G57" i="8"/>
  <c r="L56" i="8"/>
  <c r="K56" i="8"/>
  <c r="J56" i="8"/>
  <c r="I56" i="8"/>
  <c r="H56" i="8"/>
  <c r="G56" i="8"/>
  <c r="O56" i="8" s="1"/>
  <c r="L55" i="8"/>
  <c r="K55" i="8"/>
  <c r="J55" i="8"/>
  <c r="I55" i="8"/>
  <c r="H55" i="8"/>
  <c r="G55" i="8"/>
  <c r="O55" i="8" s="1"/>
  <c r="N54" i="8"/>
  <c r="L54" i="8"/>
  <c r="K54" i="8"/>
  <c r="J54" i="8"/>
  <c r="I54" i="8"/>
  <c r="H54" i="8"/>
  <c r="G54" i="8"/>
  <c r="O54" i="8" s="1"/>
  <c r="L53" i="8"/>
  <c r="K53" i="8"/>
  <c r="J53" i="8"/>
  <c r="I53" i="8"/>
  <c r="H53" i="8"/>
  <c r="G53" i="8"/>
  <c r="O53" i="8" s="1"/>
  <c r="L52" i="8"/>
  <c r="K52" i="8"/>
  <c r="J52" i="8"/>
  <c r="I52" i="8"/>
  <c r="H52" i="8"/>
  <c r="G52" i="8"/>
  <c r="O52" i="8" s="1"/>
  <c r="L51" i="8"/>
  <c r="K51" i="8"/>
  <c r="J51" i="8"/>
  <c r="I51" i="8"/>
  <c r="H51" i="8"/>
  <c r="G51" i="8"/>
  <c r="O51" i="8" s="1"/>
  <c r="L50" i="8"/>
  <c r="K50" i="8"/>
  <c r="J50" i="8"/>
  <c r="I50" i="8"/>
  <c r="H50" i="8"/>
  <c r="G50" i="8"/>
  <c r="O50" i="8" s="1"/>
  <c r="L49" i="8"/>
  <c r="K49" i="8"/>
  <c r="J49" i="8"/>
  <c r="I49" i="8"/>
  <c r="H49" i="8"/>
  <c r="G49" i="8"/>
  <c r="L48" i="8"/>
  <c r="K48" i="8"/>
  <c r="J48" i="8"/>
  <c r="I48" i="8"/>
  <c r="H48" i="8"/>
  <c r="G48" i="8"/>
  <c r="O48" i="8" s="1"/>
  <c r="L47" i="8"/>
  <c r="K47" i="8"/>
  <c r="J47" i="8"/>
  <c r="I47" i="8"/>
  <c r="H47" i="8"/>
  <c r="N47" i="8" s="1"/>
  <c r="G47" i="8"/>
  <c r="O47" i="8" s="1"/>
  <c r="L46" i="8"/>
  <c r="K46" i="8"/>
  <c r="J46" i="8"/>
  <c r="I46" i="8"/>
  <c r="H46" i="8"/>
  <c r="M46" i="8" s="1"/>
  <c r="G46" i="8"/>
  <c r="O46" i="8" s="1"/>
  <c r="L45" i="8"/>
  <c r="K45" i="8"/>
  <c r="J45" i="8"/>
  <c r="I45" i="8"/>
  <c r="H45" i="8"/>
  <c r="G45" i="8"/>
  <c r="O45" i="8" s="1"/>
  <c r="L44" i="8"/>
  <c r="K44" i="8"/>
  <c r="J44" i="8"/>
  <c r="I44" i="8"/>
  <c r="H44" i="8"/>
  <c r="G44" i="8"/>
  <c r="O44" i="8" s="1"/>
  <c r="L43" i="8"/>
  <c r="K43" i="8"/>
  <c r="J43" i="8"/>
  <c r="I43" i="8"/>
  <c r="H43" i="8"/>
  <c r="G43" i="8"/>
  <c r="O43" i="8" s="1"/>
  <c r="L42" i="8"/>
  <c r="K42" i="8"/>
  <c r="J42" i="8"/>
  <c r="I42" i="8"/>
  <c r="H42" i="8"/>
  <c r="G42" i="8"/>
  <c r="O42" i="8" s="1"/>
  <c r="L41" i="8"/>
  <c r="K41" i="8"/>
  <c r="J41" i="8"/>
  <c r="I41" i="8"/>
  <c r="H41" i="8"/>
  <c r="G41" i="8"/>
  <c r="N41" i="8" s="1"/>
  <c r="L40" i="8"/>
  <c r="K40" i="8"/>
  <c r="J40" i="8"/>
  <c r="I40" i="8"/>
  <c r="H40" i="8"/>
  <c r="G40" i="8"/>
  <c r="O40" i="8" s="1"/>
  <c r="L39" i="8"/>
  <c r="K39" i="8"/>
  <c r="J39" i="8"/>
  <c r="I39" i="8"/>
  <c r="H39" i="8"/>
  <c r="G39" i="8"/>
  <c r="O39" i="8" s="1"/>
  <c r="L38" i="8"/>
  <c r="K38" i="8"/>
  <c r="N38" i="8" s="1"/>
  <c r="J38" i="8"/>
  <c r="I38" i="8"/>
  <c r="H38" i="8"/>
  <c r="G38" i="8"/>
  <c r="O38" i="8" s="1"/>
  <c r="L37" i="8"/>
  <c r="K37" i="8"/>
  <c r="J37" i="8"/>
  <c r="N37" i="8" s="1"/>
  <c r="I37" i="8"/>
  <c r="H37" i="8"/>
  <c r="G37" i="8"/>
  <c r="O37" i="8" s="1"/>
  <c r="L36" i="8"/>
  <c r="K36" i="8"/>
  <c r="J36" i="8"/>
  <c r="I36" i="8"/>
  <c r="H36" i="8"/>
  <c r="G36" i="8"/>
  <c r="O36" i="8" s="1"/>
  <c r="L35" i="8"/>
  <c r="K35" i="8"/>
  <c r="J35" i="8"/>
  <c r="I35" i="8"/>
  <c r="H35" i="8"/>
  <c r="G35" i="8"/>
  <c r="O35" i="8" s="1"/>
  <c r="L34" i="8"/>
  <c r="K34" i="8"/>
  <c r="J34" i="8"/>
  <c r="I34" i="8"/>
  <c r="H34" i="8"/>
  <c r="G34" i="8"/>
  <c r="O34" i="8" s="1"/>
  <c r="L33" i="8"/>
  <c r="K33" i="8"/>
  <c r="J33" i="8"/>
  <c r="N33" i="8" s="1"/>
  <c r="I33" i="8"/>
  <c r="H33" i="8"/>
  <c r="G33" i="8"/>
  <c r="L32" i="8"/>
  <c r="K32" i="8"/>
  <c r="J32" i="8"/>
  <c r="I32" i="8"/>
  <c r="H32" i="8"/>
  <c r="G32" i="8"/>
  <c r="O32" i="8" s="1"/>
  <c r="L31" i="8"/>
  <c r="K31" i="8"/>
  <c r="J31" i="8"/>
  <c r="I31" i="8"/>
  <c r="H31" i="8"/>
  <c r="G31" i="8"/>
  <c r="O31" i="8" s="1"/>
  <c r="M30" i="8"/>
  <c r="L30" i="8"/>
  <c r="K30" i="8"/>
  <c r="J30" i="8"/>
  <c r="I30" i="8"/>
  <c r="H30" i="8"/>
  <c r="G30" i="8"/>
  <c r="O30" i="8" s="1"/>
  <c r="L29" i="8"/>
  <c r="N29" i="8" s="1"/>
  <c r="K29" i="8"/>
  <c r="J29" i="8"/>
  <c r="I29" i="8"/>
  <c r="H29" i="8"/>
  <c r="G29" i="8"/>
  <c r="O29" i="8" s="1"/>
  <c r="L28" i="8"/>
  <c r="K28" i="8"/>
  <c r="J28" i="8"/>
  <c r="I28" i="8"/>
  <c r="H28" i="8"/>
  <c r="G28" i="8"/>
  <c r="O28" i="8" s="1"/>
  <c r="L27" i="8"/>
  <c r="K27" i="8"/>
  <c r="J27" i="8"/>
  <c r="I27" i="8"/>
  <c r="H27" i="8"/>
  <c r="M27" i="8" s="1"/>
  <c r="G27" i="8"/>
  <c r="O27" i="8" s="1"/>
  <c r="L26" i="8"/>
  <c r="K26" i="8"/>
  <c r="J26" i="8"/>
  <c r="I26" i="8"/>
  <c r="H26" i="8"/>
  <c r="G26" i="8"/>
  <c r="O26" i="8" s="1"/>
  <c r="L25" i="8"/>
  <c r="K25" i="8"/>
  <c r="J25" i="8"/>
  <c r="I25" i="8"/>
  <c r="H25" i="8"/>
  <c r="G25" i="8"/>
  <c r="L24" i="8"/>
  <c r="K24" i="8"/>
  <c r="J24" i="8"/>
  <c r="I24" i="8"/>
  <c r="H24" i="8"/>
  <c r="G24" i="8"/>
  <c r="O24" i="8" s="1"/>
  <c r="L23" i="8"/>
  <c r="K23" i="8"/>
  <c r="J23" i="8"/>
  <c r="I23" i="8"/>
  <c r="H23" i="8"/>
  <c r="G23" i="8"/>
  <c r="O23" i="8" s="1"/>
  <c r="L22" i="8"/>
  <c r="K22" i="8"/>
  <c r="J22" i="8"/>
  <c r="I22" i="8"/>
  <c r="H22" i="8"/>
  <c r="M22" i="8" s="1"/>
  <c r="G22" i="8"/>
  <c r="O22" i="8" s="1"/>
  <c r="L21" i="8"/>
  <c r="K21" i="8"/>
  <c r="J21" i="8"/>
  <c r="I21" i="8"/>
  <c r="H21" i="8"/>
  <c r="G21" i="8"/>
  <c r="M21" i="8" s="1"/>
  <c r="L20" i="8"/>
  <c r="K20" i="8"/>
  <c r="J20" i="8"/>
  <c r="I20" i="8"/>
  <c r="H20" i="8"/>
  <c r="G20" i="8"/>
  <c r="O20" i="8" s="1"/>
  <c r="L19" i="8"/>
  <c r="K19" i="8"/>
  <c r="J19" i="8"/>
  <c r="I19" i="8"/>
  <c r="H19" i="8"/>
  <c r="G19" i="8"/>
  <c r="O19" i="8" s="1"/>
  <c r="L18" i="8"/>
  <c r="K18" i="8"/>
  <c r="J18" i="8"/>
  <c r="I18" i="8"/>
  <c r="H18" i="8"/>
  <c r="G18" i="8"/>
  <c r="O18" i="8" s="1"/>
  <c r="L17" i="8"/>
  <c r="K17" i="8"/>
  <c r="J17" i="8"/>
  <c r="I17" i="8"/>
  <c r="H17" i="8"/>
  <c r="G17" i="8"/>
  <c r="L16" i="8"/>
  <c r="K16" i="8"/>
  <c r="J16" i="8"/>
  <c r="I16" i="8"/>
  <c r="H16" i="8"/>
  <c r="G16" i="8"/>
  <c r="O16" i="8" s="1"/>
  <c r="L15" i="8"/>
  <c r="K15" i="8"/>
  <c r="J15" i="8"/>
  <c r="I15" i="8"/>
  <c r="H15" i="8"/>
  <c r="G15" i="8"/>
  <c r="O15" i="8" s="1"/>
  <c r="L14" i="8"/>
  <c r="K14" i="8"/>
  <c r="J14" i="8"/>
  <c r="I14" i="8"/>
  <c r="M14" i="8" s="1"/>
  <c r="H14" i="8"/>
  <c r="G14" i="8"/>
  <c r="O14" i="8" s="1"/>
  <c r="O13" i="8"/>
  <c r="L13" i="8"/>
  <c r="K13" i="8"/>
  <c r="J13" i="8"/>
  <c r="I13" i="8"/>
  <c r="H13" i="8"/>
  <c r="G13" i="8"/>
  <c r="L12" i="8"/>
  <c r="K12" i="8"/>
  <c r="J12" i="8"/>
  <c r="I12" i="8"/>
  <c r="H12" i="8"/>
  <c r="G12" i="8"/>
  <c r="O12" i="8" s="1"/>
  <c r="L11" i="8"/>
  <c r="K11" i="8"/>
  <c r="J11" i="8"/>
  <c r="I11" i="8"/>
  <c r="H11" i="8"/>
  <c r="M11" i="8" s="1"/>
  <c r="G11" i="8"/>
  <c r="O11" i="8" s="1"/>
  <c r="L10" i="8"/>
  <c r="K10" i="8"/>
  <c r="J10" i="8"/>
  <c r="I10" i="8"/>
  <c r="H10" i="8"/>
  <c r="G10" i="8"/>
  <c r="O10" i="8" s="1"/>
  <c r="O9" i="8"/>
  <c r="L9" i="8"/>
  <c r="K9" i="8"/>
  <c r="J9" i="8"/>
  <c r="I9" i="8"/>
  <c r="H9" i="8"/>
  <c r="G9" i="8"/>
  <c r="O8" i="8"/>
  <c r="L8" i="8"/>
  <c r="K8" i="8"/>
  <c r="J8" i="8"/>
  <c r="I8" i="8"/>
  <c r="H8" i="8"/>
  <c r="G8" i="8"/>
  <c r="L7" i="8"/>
  <c r="K7" i="8"/>
  <c r="J7" i="8"/>
  <c r="I7" i="8"/>
  <c r="H7" i="8"/>
  <c r="G7" i="8"/>
  <c r="O7" i="8" s="1"/>
  <c r="L6" i="8"/>
  <c r="K6" i="8"/>
  <c r="J6" i="8"/>
  <c r="I6" i="8"/>
  <c r="H6" i="8"/>
  <c r="G6" i="8"/>
  <c r="O6" i="8" s="1"/>
  <c r="O5" i="8"/>
  <c r="L5" i="8"/>
  <c r="K5" i="8"/>
  <c r="J5" i="8"/>
  <c r="I5" i="8"/>
  <c r="H5" i="8"/>
  <c r="G5" i="8"/>
  <c r="L4" i="8"/>
  <c r="K4" i="8"/>
  <c r="J4" i="8"/>
  <c r="I4" i="8"/>
  <c r="H4" i="8"/>
  <c r="G4" i="8"/>
  <c r="L3" i="8"/>
  <c r="K3" i="8"/>
  <c r="J3" i="8"/>
  <c r="I3" i="8"/>
  <c r="H3" i="8"/>
  <c r="M3" i="8" s="1"/>
  <c r="G3" i="8"/>
  <c r="O3" i="8" s="1"/>
  <c r="L2" i="8"/>
  <c r="K2" i="8"/>
  <c r="J2" i="8"/>
  <c r="I2" i="8"/>
  <c r="H2" i="8"/>
  <c r="G2" i="8"/>
  <c r="O2" i="8" s="1"/>
  <c r="N39" i="8" l="1"/>
  <c r="M47" i="8"/>
  <c r="N50" i="8"/>
  <c r="M54" i="8"/>
  <c r="M67" i="8"/>
  <c r="N10" i="8"/>
  <c r="M13" i="8"/>
  <c r="M55" i="8"/>
  <c r="N58" i="8"/>
  <c r="N66" i="8"/>
  <c r="N71" i="8"/>
  <c r="M75" i="8"/>
  <c r="M78" i="8"/>
  <c r="M79" i="8"/>
  <c r="M97" i="8"/>
  <c r="N110" i="8"/>
  <c r="N113" i="8"/>
  <c r="M122" i="8"/>
  <c r="N127" i="8"/>
  <c r="M131" i="8"/>
  <c r="M134" i="8"/>
  <c r="N137" i="8"/>
  <c r="N146" i="8"/>
  <c r="M150" i="8"/>
  <c r="N153" i="8"/>
  <c r="N162" i="8"/>
  <c r="M166" i="8"/>
  <c r="N169" i="8"/>
  <c r="N178" i="8"/>
  <c r="M182" i="8"/>
  <c r="N185" i="8"/>
  <c r="N90" i="8"/>
  <c r="N97" i="8"/>
  <c r="N106" i="8"/>
  <c r="N116" i="8"/>
  <c r="M146" i="8"/>
  <c r="N164" i="8"/>
  <c r="N167" i="8"/>
  <c r="N180" i="8"/>
  <c r="N183" i="8"/>
  <c r="M187" i="8"/>
  <c r="N18" i="8"/>
  <c r="M2" i="8"/>
  <c r="N31" i="8"/>
  <c r="M35" i="8"/>
  <c r="M38" i="8"/>
  <c r="M39" i="8"/>
  <c r="M51" i="8"/>
  <c r="N55" i="8"/>
  <c r="N79" i="8"/>
  <c r="M83" i="8"/>
  <c r="M99" i="8"/>
  <c r="N103" i="8"/>
  <c r="N118" i="8"/>
  <c r="N121" i="8"/>
  <c r="M130" i="8"/>
  <c r="N142" i="8"/>
  <c r="M145" i="8"/>
  <c r="N158" i="8"/>
  <c r="M159" i="8"/>
  <c r="N174" i="8"/>
  <c r="M175" i="8"/>
  <c r="N190" i="8"/>
  <c r="M191" i="8"/>
  <c r="N7" i="8"/>
  <c r="M142" i="8"/>
  <c r="N145" i="8"/>
  <c r="N154" i="8"/>
  <c r="M158" i="8"/>
  <c r="N161" i="8"/>
  <c r="N170" i="8"/>
  <c r="M174" i="8"/>
  <c r="N177" i="8"/>
  <c r="N186" i="8"/>
  <c r="M190" i="8"/>
  <c r="M74" i="8"/>
  <c r="N6" i="8"/>
  <c r="N14" i="8"/>
  <c r="N17" i="8"/>
  <c r="N30" i="8"/>
  <c r="N49" i="8"/>
  <c r="M50" i="8"/>
  <c r="M59" i="8"/>
  <c r="N65" i="8"/>
  <c r="N82" i="8"/>
  <c r="N89" i="8"/>
  <c r="N98" i="8"/>
  <c r="N105" i="8"/>
  <c r="M114" i="8"/>
  <c r="N119" i="8"/>
  <c r="M123" i="8"/>
  <c r="M126" i="8"/>
  <c r="M127" i="8"/>
  <c r="M129" i="8"/>
  <c r="M138" i="8"/>
  <c r="M141" i="8"/>
  <c r="M154" i="8"/>
  <c r="M157" i="8"/>
  <c r="M170" i="8"/>
  <c r="M173" i="8"/>
  <c r="M186" i="8"/>
  <c r="M189" i="8"/>
  <c r="M192" i="8"/>
  <c r="M42" i="8"/>
  <c r="N63" i="8"/>
  <c r="N108" i="8"/>
  <c r="N129" i="8"/>
  <c r="N143" i="8"/>
  <c r="M147" i="8"/>
  <c r="N22" i="8"/>
  <c r="M66" i="8"/>
  <c r="N81" i="8"/>
  <c r="N26" i="8"/>
  <c r="M65" i="8"/>
  <c r="M6" i="8"/>
  <c r="N9" i="8"/>
  <c r="M73" i="8"/>
  <c r="N2" i="8"/>
  <c r="N5" i="8"/>
  <c r="M15" i="8"/>
  <c r="M19" i="8"/>
  <c r="N25" i="8"/>
  <c r="M43" i="8"/>
  <c r="N46" i="8"/>
  <c r="N57" i="8"/>
  <c r="M58" i="8"/>
  <c r="N73" i="8"/>
  <c r="M82" i="8"/>
  <c r="M91" i="8"/>
  <c r="N94" i="8"/>
  <c r="N95" i="8"/>
  <c r="M107" i="8"/>
  <c r="M110" i="8"/>
  <c r="M111" i="8"/>
  <c r="M113" i="8"/>
  <c r="N122" i="8"/>
  <c r="N132" i="8"/>
  <c r="N134" i="8"/>
  <c r="M135" i="8"/>
  <c r="N150" i="8"/>
  <c r="M151" i="8"/>
  <c r="N166" i="8"/>
  <c r="M167" i="8"/>
  <c r="N182" i="8"/>
  <c r="M183" i="8"/>
  <c r="N4" i="8"/>
  <c r="M4" i="8"/>
  <c r="N13" i="8"/>
  <c r="M17" i="8"/>
  <c r="M25" i="8"/>
  <c r="N16" i="8"/>
  <c r="M16" i="8"/>
  <c r="N21" i="8"/>
  <c r="N24" i="8"/>
  <c r="M24" i="8"/>
  <c r="M10" i="8"/>
  <c r="O21" i="8"/>
  <c r="N20" i="8"/>
  <c r="M20" i="8"/>
  <c r="M23" i="8"/>
  <c r="N23" i="8"/>
  <c r="N28" i="8"/>
  <c r="M28" i="8"/>
  <c r="N15" i="8"/>
  <c r="M9" i="8"/>
  <c r="N8" i="8"/>
  <c r="M8" i="8"/>
  <c r="M18" i="8"/>
  <c r="M26" i="8"/>
  <c r="M33" i="8"/>
  <c r="M34" i="8"/>
  <c r="N34" i="8"/>
  <c r="N12" i="8"/>
  <c r="M12" i="8"/>
  <c r="M7" i="8"/>
  <c r="O4" i="8"/>
  <c r="M5" i="8"/>
  <c r="O41" i="8"/>
  <c r="N42" i="8"/>
  <c r="O49" i="8"/>
  <c r="O57" i="8"/>
  <c r="N3" i="8"/>
  <c r="N11" i="8"/>
  <c r="N19" i="8"/>
  <c r="N27" i="8"/>
  <c r="N35" i="8"/>
  <c r="M36" i="8"/>
  <c r="N43" i="8"/>
  <c r="M44" i="8"/>
  <c r="N51" i="8"/>
  <c r="M52" i="8"/>
  <c r="N59" i="8"/>
  <c r="M60" i="8"/>
  <c r="O66" i="8"/>
  <c r="N67" i="8"/>
  <c r="M68" i="8"/>
  <c r="O74" i="8"/>
  <c r="N75" i="8"/>
  <c r="M76" i="8"/>
  <c r="O82" i="8"/>
  <c r="N83" i="8"/>
  <c r="M84" i="8"/>
  <c r="O90" i="8"/>
  <c r="N91" i="8"/>
  <c r="M92" i="8"/>
  <c r="O98" i="8"/>
  <c r="N99" i="8"/>
  <c r="M100" i="8"/>
  <c r="O106" i="8"/>
  <c r="N107" i="8"/>
  <c r="M108" i="8"/>
  <c r="O114" i="8"/>
  <c r="N115" i="8"/>
  <c r="M116" i="8"/>
  <c r="O122" i="8"/>
  <c r="N123" i="8"/>
  <c r="M124" i="8"/>
  <c r="O130" i="8"/>
  <c r="N131" i="8"/>
  <c r="M132" i="8"/>
  <c r="O138" i="8"/>
  <c r="N139" i="8"/>
  <c r="M140" i="8"/>
  <c r="O146" i="8"/>
  <c r="N147" i="8"/>
  <c r="M148" i="8"/>
  <c r="O154" i="8"/>
  <c r="N155" i="8"/>
  <c r="M156" i="8"/>
  <c r="O162" i="8"/>
  <c r="N163" i="8"/>
  <c r="M164" i="8"/>
  <c r="O170" i="8"/>
  <c r="N171" i="8"/>
  <c r="M172" i="8"/>
  <c r="O178" i="8"/>
  <c r="N179" i="8"/>
  <c r="M180" i="8"/>
  <c r="O186" i="8"/>
  <c r="N187" i="8"/>
  <c r="M188" i="8"/>
  <c r="O17" i="8"/>
  <c r="O25" i="8"/>
  <c r="O33" i="8"/>
  <c r="M29" i="8"/>
  <c r="N36" i="8"/>
  <c r="M37" i="8"/>
  <c r="N44" i="8"/>
  <c r="M45" i="8"/>
  <c r="N52" i="8"/>
  <c r="M53" i="8"/>
  <c r="N60" i="8"/>
  <c r="M61" i="8"/>
  <c r="O67" i="8"/>
  <c r="N68" i="8"/>
  <c r="M69" i="8"/>
  <c r="O75" i="8"/>
  <c r="N76" i="8"/>
  <c r="M77" i="8"/>
  <c r="O83" i="8"/>
  <c r="N84" i="8"/>
  <c r="M85" i="8"/>
  <c r="O91" i="8"/>
  <c r="N92" i="8"/>
  <c r="M93" i="8"/>
  <c r="O99" i="8"/>
  <c r="N100" i="8"/>
  <c r="M101" i="8"/>
  <c r="O107" i="8"/>
  <c r="M109" i="8"/>
  <c r="O115" i="8"/>
  <c r="M117" i="8"/>
  <c r="O123" i="8"/>
  <c r="M125" i="8"/>
  <c r="O131" i="8"/>
  <c r="M133" i="8"/>
  <c r="O139" i="8"/>
  <c r="O147" i="8"/>
  <c r="O155" i="8"/>
  <c r="O163" i="8"/>
  <c r="O171" i="8"/>
  <c r="O179" i="8"/>
  <c r="O187" i="8"/>
  <c r="N45" i="8"/>
  <c r="N53" i="8"/>
  <c r="N61" i="8"/>
  <c r="N69" i="8"/>
  <c r="M70" i="8"/>
  <c r="N77" i="8"/>
  <c r="N85" i="8"/>
  <c r="N93" i="8"/>
  <c r="M94" i="8"/>
  <c r="N101" i="8"/>
  <c r="M102" i="8"/>
  <c r="N109" i="8"/>
  <c r="N117" i="8"/>
  <c r="N125" i="8"/>
  <c r="N133" i="8"/>
  <c r="N141" i="8"/>
  <c r="N149" i="8"/>
  <c r="N157" i="8"/>
  <c r="N165" i="8"/>
  <c r="N173" i="8"/>
  <c r="N181" i="8"/>
  <c r="N189" i="8"/>
  <c r="M31" i="8"/>
  <c r="M32" i="8"/>
  <c r="M56" i="8"/>
  <c r="M64" i="8"/>
  <c r="M112" i="8"/>
  <c r="M120" i="8"/>
  <c r="M128" i="8"/>
  <c r="M136" i="8"/>
  <c r="M144" i="8"/>
  <c r="M152" i="8"/>
  <c r="M160" i="8"/>
  <c r="M168" i="8"/>
  <c r="M176" i="8"/>
  <c r="M184" i="8"/>
  <c r="N191" i="8"/>
  <c r="M40" i="8"/>
  <c r="M48" i="8"/>
  <c r="M72" i="8"/>
  <c r="M80" i="8"/>
  <c r="N32" i="8"/>
  <c r="N40" i="8"/>
  <c r="M41" i="8"/>
  <c r="N48" i="8"/>
  <c r="M49" i="8"/>
  <c r="N56" i="8"/>
  <c r="M57" i="8"/>
  <c r="N64" i="8"/>
  <c r="N72" i="8"/>
  <c r="N80" i="8"/>
  <c r="N88" i="8"/>
  <c r="N96" i="8"/>
  <c r="N104" i="8"/>
  <c r="N112" i="8"/>
  <c r="N120" i="8"/>
  <c r="N128" i="8"/>
  <c r="N136" i="8"/>
  <c r="M137" i="8"/>
  <c r="N144" i="8"/>
  <c r="N152" i="8"/>
  <c r="M153" i="8"/>
  <c r="N160" i="8"/>
  <c r="M161" i="8"/>
  <c r="N168" i="8"/>
  <c r="M169" i="8"/>
  <c r="N176" i="8"/>
  <c r="M177" i="8"/>
  <c r="N184" i="8"/>
  <c r="M185" i="8"/>
  <c r="N192" i="8"/>
  <c r="M193" i="8"/>
  <c r="N193" i="8"/>
</calcChain>
</file>

<file path=xl/sharedStrings.xml><?xml version="1.0" encoding="utf-8"?>
<sst xmlns="http://schemas.openxmlformats.org/spreadsheetml/2006/main" count="9582" uniqueCount="638">
  <si>
    <t>Synthetic Hindi Annotation Fixture v2</t>
  </si>
  <si>
    <t>Unique generations</t>
  </si>
  <si>
    <t>Conditions</t>
  </si>
  <si>
    <t>Raw rating rows</t>
  </si>
  <si>
    <t>Raters/item</t>
  </si>
  <si>
    <t>Rubric scale</t>
  </si>
  <si>
    <t>0–3</t>
  </si>
  <si>
    <t>Rubric axes</t>
  </si>
  <si>
    <t>Minimum axis α</t>
  </si>
  <si>
    <t>Proxy-human ρ</t>
  </si>
  <si>
    <t>Max |target−actual proxy|</t>
  </si>
  <si>
    <t>Data status</t>
  </si>
  <si>
    <t>SYNTHETIC</t>
  </si>
  <si>
    <t>Condition</t>
  </si>
  <si>
    <t>Paper table target</t>
  </si>
  <si>
    <t>Synthetic text-derived mean</t>
  </si>
  <si>
    <t>T6_01</t>
  </si>
  <si>
    <t>T6_02</t>
  </si>
  <si>
    <t>T6_03</t>
  </si>
  <si>
    <t>T6_04</t>
  </si>
  <si>
    <t>T6_05</t>
  </si>
  <si>
    <t>T6_06</t>
  </si>
  <si>
    <t>T6_07</t>
  </si>
  <si>
    <t>T6_08</t>
  </si>
  <si>
    <t>Axis</t>
  </si>
  <si>
    <t>What it measures</t>
  </si>
  <si>
    <t>Scale</t>
  </si>
  <si>
    <t>Addressee honorificity</t>
  </si>
  <si>
    <t>Pronoun appropriateness (aap/tum/tu)</t>
  </si>
  <si>
    <t>Verb agreement</t>
  </si>
  <si>
    <t>Plural verb with aap; singular with tu</t>
  </si>
  <si>
    <t>Register consistency</t>
  </si>
  <si>
    <t>Honorific level constant throughout</t>
  </si>
  <si>
    <t>Context appropriateness</t>
  </si>
  <si>
    <t>Pragmatic level for implied social context</t>
  </si>
  <si>
    <t>Fluency</t>
  </si>
  <si>
    <t>Independent fluency (control)</t>
  </si>
  <si>
    <t>Content preservation</t>
  </si>
  <si>
    <t>Prompt faithfulness (control)</t>
  </si>
  <si>
    <t>Condition code</t>
  </si>
  <si>
    <t>Condition name</t>
  </si>
  <si>
    <t>Method group</t>
  </si>
  <si>
    <t>Paper proxy target</t>
  </si>
  <si>
    <t>Baseline (tu-form prompts)</t>
  </si>
  <si>
    <t>baseline</t>
  </si>
  <si>
    <t>Zero-shot instruction</t>
  </si>
  <si>
    <t>prompting</t>
  </si>
  <si>
    <t>Random-feature steering (null)</t>
  </si>
  <si>
    <t>null</t>
  </si>
  <si>
    <t>Single SAE feature</t>
  </si>
  <si>
    <t>additive steering</t>
  </si>
  <si>
    <t>Top-5 SAE features</t>
  </si>
  <si>
    <t>Top-20 SAE features</t>
  </si>
  <si>
    <t>Supervised difference-in-means</t>
  </si>
  <si>
    <t>4-shot prompting</t>
  </si>
  <si>
    <t>Marker type</t>
  </si>
  <si>
    <t>Token / rule</t>
  </si>
  <si>
    <t>Interpretation</t>
  </si>
  <si>
    <t>Proxy definition</t>
  </si>
  <si>
    <t>aap marker</t>
  </si>
  <si>
    <t>aaiye</t>
  </si>
  <si>
    <t>+1 to n_aap</t>
  </si>
  <si>
    <t>Formula</t>
  </si>
  <si>
    <t>hon(x) = (n_aap - n_tu) / n_tok</t>
  </si>
  <si>
    <t>aap</t>
  </si>
  <si>
    <t>Nominal range</t>
  </si>
  <si>
    <t>approximately [-1, 1]</t>
  </si>
  <si>
    <t>aapka</t>
  </si>
  <si>
    <t>Tokenizer</t>
  </si>
  <si>
    <t>[A-Za-z]+(?:-[A-Za-z]+)?</t>
  </si>
  <si>
    <t>aapke</t>
  </si>
  <si>
    <t>aapki</t>
  </si>
  <si>
    <t>aapko</t>
  </si>
  <si>
    <t>batayiye</t>
  </si>
  <si>
    <t>bhejiye</t>
  </si>
  <si>
    <t>chaliye</t>
  </si>
  <si>
    <t>dekhiye</t>
  </si>
  <si>
    <t>dijiye</t>
  </si>
  <si>
    <t>dikhaiye</t>
  </si>
  <si>
    <t>jaiye</t>
  </si>
  <si>
    <t>kariyega</t>
  </si>
  <si>
    <t>kijiye</t>
  </si>
  <si>
    <t>lijiye</t>
  </si>
  <si>
    <t>rakhiye</t>
  </si>
  <si>
    <t>samajhiye</t>
  </si>
  <si>
    <t>suniye</t>
  </si>
  <si>
    <t>tu/tum marker</t>
  </si>
  <si>
    <t>aao</t>
  </si>
  <si>
    <t>+1 to n_tu</t>
  </si>
  <si>
    <t>baitho</t>
  </si>
  <si>
    <t>batao</t>
  </si>
  <si>
    <t>bhejo</t>
  </si>
  <si>
    <t>bhulo</t>
  </si>
  <si>
    <t>chalo</t>
  </si>
  <si>
    <t>dekho</t>
  </si>
  <si>
    <t>dikhao</t>
  </si>
  <si>
    <t>jaancho</t>
  </si>
  <si>
    <t>jao</t>
  </si>
  <si>
    <t>jodo</t>
  </si>
  <si>
    <t>karo</t>
  </si>
  <si>
    <t>lao</t>
  </si>
  <si>
    <t>lo</t>
  </si>
  <si>
    <t>pahucho</t>
  </si>
  <si>
    <t>rakho</t>
  </si>
  <si>
    <t>samjho</t>
  </si>
  <si>
    <t>suno</t>
  </si>
  <si>
    <t>tu</t>
  </si>
  <si>
    <t>tum</t>
  </si>
  <si>
    <t>tumhara</t>
  </si>
  <si>
    <t>tumhare</t>
  </si>
  <si>
    <t>tumhari</t>
  </si>
  <si>
    <t>tumhe</t>
  </si>
  <si>
    <t>verb + do rule</t>
  </si>
  <si>
    <t>badal do</t>
  </si>
  <si>
    <t>+1 to n_tu; standalone numeric 'do' is not counted</t>
  </si>
  <si>
    <t>bata do</t>
  </si>
  <si>
    <t>bhej do</t>
  </si>
  <si>
    <t>daba do</t>
  </si>
  <si>
    <t>de do</t>
  </si>
  <si>
    <t>dikha do</t>
  </si>
  <si>
    <t>jama do</t>
  </si>
  <si>
    <t>kar do</t>
  </si>
  <si>
    <t>likh do</t>
  </si>
  <si>
    <t>likhwa do</t>
  </si>
  <si>
    <t>generation_id</t>
  </si>
  <si>
    <t>prompt_id</t>
  </si>
  <si>
    <t>condition_code</t>
  </si>
  <si>
    <t>condition_name</t>
  </si>
  <si>
    <t>method_group</t>
  </si>
  <si>
    <t>domain</t>
  </si>
  <si>
    <t>intended_context</t>
  </si>
  <si>
    <t>source_prompt</t>
  </si>
  <si>
    <t>generated_text</t>
  </si>
  <si>
    <t>generation_variant</t>
  </si>
  <si>
    <t>token_count</t>
  </si>
  <si>
    <t>n_aap</t>
  </si>
  <si>
    <t>n_tu</t>
  </si>
  <si>
    <t>proxy_hon</t>
  </si>
  <si>
    <t>paper_table_proxy_target</t>
  </si>
  <si>
    <t>simulation_seed</t>
  </si>
  <si>
    <t>dataset_created_at_utc</t>
  </si>
  <si>
    <t>G0001</t>
  </si>
  <si>
    <t>P001</t>
  </si>
  <si>
    <t>social</t>
  </si>
  <si>
    <t>elderly stranger at a railway station</t>
  </si>
  <si>
    <t>Tum ek buzurg yatri ko platform tak pahunchne ka tareeqa batao.</t>
  </si>
  <si>
    <t>Tum platform number teen tak seedha jao aur display board par coach number dekho. Display board par coach number dekhna aur zarurat padne par inquiry counter se madad lena sabse spasht rahega.</t>
  </si>
  <si>
    <t>NEG3</t>
  </si>
  <si>
    <t>G0002</t>
  </si>
  <si>
    <t>P002</t>
  </si>
  <si>
    <t>older neighbour asking about a pharmacy</t>
  </si>
  <si>
    <t>Tum pados ke buzurg vyakti ko najdeeki pharmacy ka rasta batao.</t>
  </si>
  <si>
    <t>Tum mukhya sadak se daayein mudkar pharmacy tak jao aur neele board wali dukaan dekho. Neela board dikhne ke baad doosri dukaan hi pharmacy hai aur wahan shaam tak dawa milti rahegi.</t>
  </si>
  <si>
    <t>G0003</t>
  </si>
  <si>
    <t>P003</t>
  </si>
  <si>
    <t>new acquaintance requesting event information</t>
  </si>
  <si>
    <t>Tum naye parichit ko samudayik karyakram ki jankari do.</t>
  </si>
  <si>
    <t>Tum registration desk par apna naam likhwa do aur samay aur hall number note karo; phir mujhe batao. Karyakram shaam chhe baje shuru hoga aur mukhya hall ke bahar poori suchi lagi rahegi.</t>
  </si>
  <si>
    <t>NEG4</t>
  </si>
  <si>
    <t>G0004</t>
  </si>
  <si>
    <t>P004</t>
  </si>
  <si>
    <t>customer speaking to a shop representative</t>
  </si>
  <si>
    <t>Tum grahak ko return prakriya samjhao.</t>
  </si>
  <si>
    <t>Tum receipt ke saath customer desk par jao aur product ka dabba saath rakho. Receipt aur mool packaging hone par team product ki jaanch karke refund ya replacement ka vikalp degi.</t>
  </si>
  <si>
    <t>G0005</t>
  </si>
  <si>
    <t>P005</t>
  </si>
  <si>
    <t>professional</t>
  </si>
  <si>
    <t>employee addressing a senior manager</t>
  </si>
  <si>
    <t>Tum senior manager ko report bhejne ka jawab do.</t>
  </si>
  <si>
    <t>Tum report ka latest version email se bhej do aur file ka naam saaf rakho. Meeting se pehle summary aur mukhya aankde milne par review aasaan hoga aur sawalon ki taiyari ho sakegi.</t>
  </si>
  <si>
    <t>G0006</t>
  </si>
  <si>
    <t>P006</t>
  </si>
  <si>
    <t>junior colleague addressing a project lead</t>
  </si>
  <si>
    <t>Tum project lead ko meeting badalne ka jawab do.</t>
  </si>
  <si>
    <t>Tum calendar invite ko kal dopahar ke liye badal do aur sabhi sadasyon ko suchit karo. Naya samay calendar me spasht dikhne par sabhi sadasya apni uplabdhata bina uljhan ke bata sakenge.</t>
  </si>
  <si>
    <t>G0007</t>
  </si>
  <si>
    <t>P007</t>
  </si>
  <si>
    <t>candidate responding to an interviewer</t>
  </si>
  <si>
    <t>Tum interviewer ko portfolio share karne ka jawab do.</t>
  </si>
  <si>
    <t>Tum portfolio link aur code sample email kar do aur do mukhya project chuno. Do sabse prasangik project ke saath chhota vivaran dene se technical yogdan aur zimmedari turant samajh aayegi.</t>
  </si>
  <si>
    <t>G0008</t>
  </si>
  <si>
    <t>P008</t>
  </si>
  <si>
    <t>consultant replying to a client</t>
  </si>
  <si>
    <t>Tum client ko document review ka agla kadam batao.</t>
  </si>
  <si>
    <t>Tum signed document portal par upload karo aur confirmation number note karo; phir mujhe batao. Upload poora hone par confirmation number surakshit rakhna zaruri hai kyunki wahi agle review ka reference hoga.</t>
  </si>
  <si>
    <t>G0009</t>
  </si>
  <si>
    <t>P009</t>
  </si>
  <si>
    <t>family</t>
  </si>
  <si>
    <t>young adult addressing an elderly uncle</t>
  </si>
  <si>
    <t>Tum bade chacha ko dawa lene ki yaad dilao.</t>
  </si>
  <si>
    <t>Tum raat ke bhojan ke baad dawa le lo aur paani paas rakho. Doctor ne ise roz ek hi samay par lene ko kaha hai aur dose chhootne par diary me nishan lagana upyogi rahega.</t>
  </si>
  <si>
    <t>G0010</t>
  </si>
  <si>
    <t>P010</t>
  </si>
  <si>
    <t>younger relative addressing a grandmother</t>
  </si>
  <si>
    <t>Tum dadi ko video call jodne ka tareeqa batao.</t>
  </si>
  <si>
    <t>Tum hare camera button ko daba do aur phone seedha rakho. Call judne ke baad awaaz kam lage to side wale button se volume badhana aasaan rahega.</t>
  </si>
  <si>
    <t>G0011</t>
  </si>
  <si>
    <t>P011</t>
  </si>
  <si>
    <t>adult child addressing a parent</t>
  </si>
  <si>
    <t>Tum apne pitaji ko bank message samjhao.</t>
  </si>
  <si>
    <t>Tum sandesh me diya reference number sambhal kar rakho aur kisi link par click mat karo. Bank adhikari se seedhe sampark karke len-den ki pushti karna kisi anjaan link ko kholne se surakshit rahega.</t>
  </si>
  <si>
    <t>G0012</t>
  </si>
  <si>
    <t>P012</t>
  </si>
  <si>
    <t>young adult addressing an older cousin formally</t>
  </si>
  <si>
    <t>Tum bade cousin ko yatra ki booking batane ka jawab do.</t>
  </si>
  <si>
    <t>Tum ticket ki PDF phone me save kar lo aur station samay par pahucho. Train ke samay se kam se kam tees minute pehle pahunchna aur coach number pehle dekhna suvidhajanak rahega.</t>
  </si>
  <si>
    <t>G0013</t>
  </si>
  <si>
    <t>P013</t>
  </si>
  <si>
    <t>public_service</t>
  </si>
  <si>
    <t>citizen addressing a bank officer</t>
  </si>
  <si>
    <t>Tum bank adhikari ko form jama karne ka jawab do.</t>
  </si>
  <si>
    <t>Tum pehchan patra ki copy ke saath form jama karo aur receipt lena mat bhulo. Counter se mili receipt ko sambhalna zaruri hai kyunki us par application number aur expected processing date hogi.</t>
  </si>
  <si>
    <t>G0014</t>
  </si>
  <si>
    <t>P014</t>
  </si>
  <si>
    <t>citizen addressing a police desk officer</t>
  </si>
  <si>
    <t>Tum police adhikari ko shikayat ka vivaran do.</t>
  </si>
  <si>
    <t>Tum ghatna ka samay aur jagah saaf likh do aur saboot ki copy jodo; phir mujhe batao. Upalabdh photo aur sandesh ki copy saath dene par shikayat ka prarambhik satyapan jaldi ho sakega.</t>
  </si>
  <si>
    <t>G0015</t>
  </si>
  <si>
    <t>P015</t>
  </si>
  <si>
    <t>passenger addressing railway help staff</t>
  </si>
  <si>
    <t>Tum railway help desk ko booking samasya batao.</t>
  </si>
  <si>
    <t>Tum PNR number aur yatra ki tareekh bata do aur payment reference bhi bhejo. Payment reference milne par team booking status aur refund record dono ko ek saath jaanch sakegi.</t>
  </si>
  <si>
    <t>G0016</t>
  </si>
  <si>
    <t>P016</t>
  </si>
  <si>
    <t>resident addressing a municipal officer</t>
  </si>
  <si>
    <t>Tum nagar nigam adhikari ko paani ki samasya batao.</t>
  </si>
  <si>
    <t>Tum ward number aur poora pata darj karo aur photo bhi jodo. Leakage ki tasveer aur shuru hone ka samay dene se field team sahi sthan aur zaruri upkaran tay kar sakegi.</t>
  </si>
  <si>
    <t>G0017</t>
  </si>
  <si>
    <t>P017</t>
  </si>
  <si>
    <t>medical</t>
  </si>
  <si>
    <t>patient addressing a senior doctor</t>
  </si>
  <si>
    <t>Tum doctor ko appointment ki pushti ka jawab do.</t>
  </si>
  <si>
    <t>Tum kal subah das baje clinic aa jao aur purani reports saath lao. Purani reports aur chal rahi dawaon ki suchi saath hone par paramarsh ke dauran samay bachega.</t>
  </si>
  <si>
    <t>G0018</t>
  </si>
  <si>
    <t>P018</t>
  </si>
  <si>
    <t>patient addressing a nurse</t>
  </si>
  <si>
    <t>Tum nurse ko test se pehle ki taiyari ka jawab do.</t>
  </si>
  <si>
    <t>Tum test se aath ghante pehle bhojan band karo aur sirf saaf paani lo. Niyamit dawa ke baare me clinic se alag pushti karna zaruri hai kyunki kuch dawaen test ko prabhavit kar sakti hain.</t>
  </si>
  <si>
    <t>G0019</t>
  </si>
  <si>
    <t>P019</t>
  </si>
  <si>
    <t>customer addressing a pharmacist</t>
  </si>
  <si>
    <t>Tum pharmacist ko dose samajhne ka jawab do.</t>
  </si>
  <si>
    <t>Tum label par likhi dose ko dobara jaanch lo aur samay note karo. Dose ko apni taraf se badalna theek nahi hoga aur uljhan hone par prescribing doctor se pushti karni chahiye.</t>
  </si>
  <si>
    <t>G0020</t>
  </si>
  <si>
    <t>P020</t>
  </si>
  <si>
    <t>caregiver addressing an elderly patient</t>
  </si>
  <si>
    <t>Tum buzurg mareez ko exercise ka tareeqa batao.</t>
  </si>
  <si>
    <t>Tum kursi ke sahare dheere khade ho jao aur chakkar aaye to turant baitho. Har gati ko bina jhatke ke karna aur dard badhne par physiotherapist ko batana surakshit rahega.</t>
  </si>
  <si>
    <t>G0021</t>
  </si>
  <si>
    <t>P021</t>
  </si>
  <si>
    <t>customer_service</t>
  </si>
  <si>
    <t>support agent addressing a customer</t>
  </si>
  <si>
    <t>Tum grahak ko delivery delay ka jawab do.</t>
  </si>
  <si>
    <t>Tum order number chat me share karo aur delivery address dobara jaancho; phir mujhe batao. Order number milte hi team courier scan aur nayi expected delivery date ki jaanch kar sakegi.</t>
  </si>
  <si>
    <t>G0022</t>
  </si>
  <si>
    <t>P022</t>
  </si>
  <si>
    <t>support agent addressing a broadband customer</t>
  </si>
  <si>
    <t>Tum internet grahak ko router reset karne ka jawab do.</t>
  </si>
  <si>
    <t>Tum router ko tees second ke liye band karo aur phir indicator light dekho. Dobara chalu karne ke baad do minute rukna aur indicator light ka rang note karna diagnosis me madad karega.</t>
  </si>
  <si>
    <t>G0023</t>
  </si>
  <si>
    <t>P023</t>
  </si>
  <si>
    <t>hotel staff addressing a guest</t>
  </si>
  <si>
    <t>Tum hotel ke mehman ko booking pushti ka jawab do.</t>
  </si>
  <si>
    <t>Tum booking ID reception par dikha do aur pehchan patra taiyar rakho. Check-in ke samay booking ID aur pehchan patra milne par kamra jaldi allot kiya ja sakega.</t>
  </si>
  <si>
    <t>G0024</t>
  </si>
  <si>
    <t>P024</t>
  </si>
  <si>
    <t>insurance agent addressing a policyholder</t>
  </si>
  <si>
    <t>Tum policyholder ko claim ke documents batao.</t>
  </si>
  <si>
    <t>Tum claim form ke saath bill aur report upload karo aur reference number note karo. Saaf scan aur sahi policy number hone par verification team bina dobara document maange review shuru kar sakegi.</t>
  </si>
  <si>
    <t>G0025</t>
  </si>
  <si>
    <t>Tum dhyan se suno: platform number teen tak seedha jao, display board par coach number dekho, phir batao. Display board par coach number dekhna aur zarurat padne par inquiry counter se madad lena sabse spasht rahega.</t>
  </si>
  <si>
    <t>NEG5S</t>
  </si>
  <si>
    <t>G0026</t>
  </si>
  <si>
    <t>Tum dhyan se suno: mukhya sadak se daayein mudkar pharmacy tak jao, neele board wali dukaan dekho, phir batao. Neela board dikhne ke baad doosri dukaan hi pharmacy hai aur wahan shaam tak dawa milti rahegi.</t>
  </si>
  <si>
    <t>G0027</t>
  </si>
  <si>
    <t>Tum dhyan se suno: registration desk par apna naam likhwa do, samay aur hall number note karo, phir batao. Karyakram shaam chhe baje shuru hoga aur mukhya hall ke bahar poori suchi lagi rahegi.</t>
  </si>
  <si>
    <t>G0028</t>
  </si>
  <si>
    <t>Tum dhyan se suno: receipt ke saath customer desk par jao, product ka dabba saath rakho, phir batao. Receipt aur mool packaging hone par team product ki jaanch karke refund ya replacement ka vikalp degi.</t>
  </si>
  <si>
    <t>G0029</t>
  </si>
  <si>
    <t>Tum dhyan se suno: report ka latest version email se bhej do, file ka naam saaf rakho, phir batao. Meeting se pehle summary aur mukhya aankde milne par review aasaan hoga aur sawalon ki taiyari ho sakegi.</t>
  </si>
  <si>
    <t>G0030</t>
  </si>
  <si>
    <t>Tum dhyan se suno: calendar invite ko kal dopahar ke liye badal do, sabhi sadasyon ko suchit karo, phir batao. Naya samay calendar me spasht dikhne par sabhi sadasya apni uplabdhata bina uljhan ke bata sakenge.</t>
  </si>
  <si>
    <t>G0031</t>
  </si>
  <si>
    <t>Tum dhyan se suno: portfolio link aur code sample email kar do, do mukhya project chuno, phir batao. Do sabse prasangik project ke saath chhota vivaran dene se technical yogdan aur zimmedari turant samajh aayegi.</t>
  </si>
  <si>
    <t>G0032</t>
  </si>
  <si>
    <t>Tum dhyan se suno: signed document portal par upload karo, confirmation number note karo, phir batao. Upload poora hone par confirmation number surakshit rakhna zaruri hai kyunki wahi agle review ka reference hoga.</t>
  </si>
  <si>
    <t>G0033</t>
  </si>
  <si>
    <t>Tum dhyan se suno: raat ke bhojan ke baad dawa le lo, paani paas rakho, phir batao. Doctor ne ise roz ek hi samay par lene ko kaha hai aur dose chhootne par diary me nishan lagana upyogi rahega.</t>
  </si>
  <si>
    <t>G0034</t>
  </si>
  <si>
    <t>Tum dhyan se suno: hare camera button ko daba do, phone seedha rakho, phir batao. Call judne ke baad awaaz kam lage to side wale button se volume badhana aasaan rahega.</t>
  </si>
  <si>
    <t>G0035</t>
  </si>
  <si>
    <t>Tum dhyan se suno: sandesh me diya reference number sambhal kar rakho, kisi link par click mat karo, phir batao. Bank adhikari se seedhe sampark karke len-den ki pushti karna kisi anjaan link ko kholne se surakshit rahega.</t>
  </si>
  <si>
    <t>G0036</t>
  </si>
  <si>
    <t>Tum dhyan se suno: ticket ki PDF phone me save kar lo, station samay par pahucho, phir batao. Train ke samay se kam se kam tees minute pehle pahunchna aur coach number pehle dekhna suvidhajanak rahega.</t>
  </si>
  <si>
    <t>G0037</t>
  </si>
  <si>
    <t>Tum dhyan se suno: pehchan patra ki copy ke saath form jama karo, receipt lena mat bhulo, phir batao. Counter se mili receipt ko sambhalna zaruri hai kyunki us par application number aur expected processing date hogi.</t>
  </si>
  <si>
    <t>G0038</t>
  </si>
  <si>
    <t>Tum dhyan se suno: ghatna ka samay aur jagah saaf likh do, saboot ki copy jodo, phir batao. Upalabdh photo aur sandesh ki copy saath dene par shikayat ka prarambhik satyapan jaldi ho sakega.</t>
  </si>
  <si>
    <t>G0039</t>
  </si>
  <si>
    <t>Tum dhyan se suno: PNR number aur yatra ki tareekh bata do, payment reference bhi bhejo, phir batao. Payment reference milne par team booking status aur refund record dono ko ek saath jaanch sakegi.</t>
  </si>
  <si>
    <t>G0040</t>
  </si>
  <si>
    <t>Tum dhyan se suno: ward number aur poora pata darj karo, photo bhi jodo, phir batao. Leakage ki tasveer aur shuru hone ka samay dene se field team sahi sthan aur zaruri upkaran tay kar sakegi.</t>
  </si>
  <si>
    <t>G0041</t>
  </si>
  <si>
    <t>Tum dhyan se suno: kal subah das baje clinic aa jao, purani reports saath lao, phir batao. Purani reports aur chal rahi dawaon ki suchi saath hone par paramarsh ke dauran samay bachega.</t>
  </si>
  <si>
    <t>G0042</t>
  </si>
  <si>
    <t>Tum dhyan se suno: test se aath ghante pehle bhojan band karo, sirf saaf paani lo, phir batao. Niyamit dawa ke baare me clinic se alag pushti karna zaruri hai kyunki kuch dawaen test ko prabhavit kar sakti hain.</t>
  </si>
  <si>
    <t>G0043</t>
  </si>
  <si>
    <t>Tum dhyan se suno: label par likhi dose ko dobara jaanch lo, samay note karo, phir batao. Dose ko apni taraf se badalna theek nahi hoga aur uljhan hone par prescribing doctor se pushti karni chahiye.</t>
  </si>
  <si>
    <t>G0044</t>
  </si>
  <si>
    <t>Tum dhyan se suno: kursi ke sahare dheere khade ho jao, chakkar aaye to turant baitho, phir batao. Har gati ko bina jhatke ke karna aur dard badhne par physiotherapist ko batana surakshit rahega.</t>
  </si>
  <si>
    <t>G0045</t>
  </si>
  <si>
    <t>Tum dhyan se suno: order number chat me share karo, delivery address dobara jaancho, phir batao. Order number milte hi team courier scan aur nayi expected delivery date ki jaanch kar sakegi.</t>
  </si>
  <si>
    <t>G0046</t>
  </si>
  <si>
    <t>Tum dhyan se suno: router ko tees second ke liye band karo, phir indicator light dekho, phir batao. Dobara chalu karne ke baad do minute rukna aur indicator light ka rang note karna diagnosis me madad karega.</t>
  </si>
  <si>
    <t>G0047</t>
  </si>
  <si>
    <t>Tum dhyan se suno: booking ID reception par dikha do, pehchan patra taiyar rakho, phir batao. Check-in ke samay booking ID aur pehchan patra milne par kamra jaldi allot kiya ja sakega.</t>
  </si>
  <si>
    <t>G0048</t>
  </si>
  <si>
    <t>Tum dhyan se suno: claim form ke saath bill aur report upload karo, reference number note karo, phir batao. Saaf scan aur sahi policy number hone par verification team bina dobara document maange review shuru kar sakegi.</t>
  </si>
  <si>
    <t>G0049</t>
  </si>
  <si>
    <t>Tum platform number teen tak seedha jao, display board par coach number dekho aur phir yeh kaam karo; mujhe turant batao. Display board par coach number dekhna aur zarurat padne par inquiry counter se madad lena sabse spasht rahega.</t>
  </si>
  <si>
    <t>NEG5</t>
  </si>
  <si>
    <t>G0050</t>
  </si>
  <si>
    <t>Tum mukhya sadak se daayein mudkar pharmacy tak jao, neele board wali dukaan dekho aur phir yeh kaam karo; mujhe turant batao. Neela board dikhne ke baad doosri dukaan hi pharmacy hai aur wahan shaam tak dawa milti rahegi.</t>
  </si>
  <si>
    <t>G0051</t>
  </si>
  <si>
    <t>Tum registration desk par apna naam likhwa do, samay aur hall number note karo aur phir yeh kaam karo; mujhe turant batao. Karyakram shaam chhe baje shuru hoga aur mukhya hall ke bahar poori suchi lagi rahegi.</t>
  </si>
  <si>
    <t>G0052</t>
  </si>
  <si>
    <t>Tum receipt ke saath customer desk par jao, product ka dabba saath rakho aur phir yeh kaam karo; mujhe turant batao. Receipt aur mool packaging hone par team product ki jaanch karke refund ya replacement ka vikalp degi.</t>
  </si>
  <si>
    <t>G0053</t>
  </si>
  <si>
    <t>Tum report ka latest version email se bhej do, file ka naam saaf rakho aur phir yeh kaam karo; mujhe turant batao. Meeting se pehle summary aur mukhya aankde milne par review aasaan hoga aur sawalon ki taiyari ho sakegi.</t>
  </si>
  <si>
    <t>G0054</t>
  </si>
  <si>
    <t>Tum calendar invite ko kal dopahar ke liye badal do, sabhi sadasyon ko suchit karo aur phir yeh kaam karo; mujhe turant batao. Naya samay calendar me spasht dikhne par sabhi sadasya apni uplabdhata bina uljhan ke bata sakenge.</t>
  </si>
  <si>
    <t>G0055</t>
  </si>
  <si>
    <t>Tum portfolio link aur code sample email kar do, do mukhya project chuno aur phir yeh kaam karo; mujhe turant batao. Do sabse prasangik project ke saath chhota vivaran dene se technical yogdan aur zimmedari turant samajh aayegi.</t>
  </si>
  <si>
    <t>G0056</t>
  </si>
  <si>
    <t>Tum signed document portal par upload karo, confirmation number note karo aur phir yeh kaam karo; mujhe turant batao. Upload poora hone par confirmation number surakshit rakhna zaruri hai kyunki wahi agle review ka reference hoga.</t>
  </si>
  <si>
    <t>G0057</t>
  </si>
  <si>
    <t>Tum raat ke bhojan ke baad dawa le lo, paani paas rakho aur phir yeh kaam karo; mujhe turant batao. Doctor ne ise roz ek hi samay par lene ko kaha hai aur dose chhootne par diary me nishan lagana upyogi rahega.</t>
  </si>
  <si>
    <t>G0058</t>
  </si>
  <si>
    <t>Tum hare camera button ko daba do, phone seedha rakho aur phir yeh kaam karo; mujhe turant batao. Call judne ke baad awaaz kam lage to side wale button se volume badhana aasaan rahega.</t>
  </si>
  <si>
    <t>G0059</t>
  </si>
  <si>
    <t>Tum sandesh me diya reference number sambhal kar rakho, kisi link par click mat karo aur phir yeh kaam karo; mujhe turant batao. Bank adhikari se seedhe sampark karke len-den ki pushti karna kisi anjaan link ko kholne se surakshit rahega.</t>
  </si>
  <si>
    <t>G0060</t>
  </si>
  <si>
    <t>Tum ticket ki PDF phone me save kar lo, station samay par pahucho aur phir yeh kaam karo; mujhe turant batao. Train ke samay se kam se kam tees minute pehle pahunchna aur coach number pehle dekhna suvidhajanak rahega.</t>
  </si>
  <si>
    <t>G0061</t>
  </si>
  <si>
    <t>Tum pehchan patra ki copy ke saath form jama karo, receipt lena mat bhulo aur phir yeh kaam karo; mujhe turant batao. Counter se mili receipt ko sambhalna zaruri hai kyunki us par application number aur expected processing date hogi.</t>
  </si>
  <si>
    <t>G0062</t>
  </si>
  <si>
    <t>Tum ghatna ka samay aur jagah saaf likh do, saboot ki copy jodo aur phir yeh kaam karo; mujhe turant batao. Upalabdh photo aur sandesh ki copy saath dene par shikayat ka prarambhik satyapan jaldi ho sakega.</t>
  </si>
  <si>
    <t>G0063</t>
  </si>
  <si>
    <t>Tum PNR number aur yatra ki tareekh bata do, payment reference bhi bhejo aur phir yeh kaam karo; mujhe turant batao. Payment reference milne par team booking status aur refund record dono ko ek saath jaanch sakegi.</t>
  </si>
  <si>
    <t>G0064</t>
  </si>
  <si>
    <t>Tum ward number aur poora pata darj karo, photo bhi jodo aur phir yeh kaam karo; mujhe turant batao. Leakage ki tasveer aur shuru hone ka samay dene se field team sahi sthan aur zaruri upkaran tay kar sakegi.</t>
  </si>
  <si>
    <t>G0065</t>
  </si>
  <si>
    <t>Tum kal subah das baje clinic aa jao, purani reports saath lao aur phir yeh kaam karo; mujhe turant batao. Purani reports aur chal rahi dawaon ki suchi saath hone par paramarsh ke dauran samay bachega.</t>
  </si>
  <si>
    <t>G0066</t>
  </si>
  <si>
    <t>Tum test se aath ghante pehle bhojan band karo, sirf saaf paani lo aur phir yeh kaam karo; mujhe turant batao. Niyamit dawa ke baare me clinic se alag pushti karna zaruri hai kyunki kuch dawaen test ko prabhavit kar sakti hain.</t>
  </si>
  <si>
    <t>G0067</t>
  </si>
  <si>
    <t>Tum label par likhi dose ko dobara jaanch lo, samay note karo aur phir yeh kaam karo; mujhe turant batao. Dose ko apni taraf se badalna theek nahi hoga aur uljhan hone par prescribing doctor se pushti karni chahiye.</t>
  </si>
  <si>
    <t>G0068</t>
  </si>
  <si>
    <t>Tum kursi ke sahare dheere khade ho jao, chakkar aaye to turant baitho aur phir yeh kaam karo; mujhe turant batao. Har gati ko bina jhatke ke karna aur dard badhne par physiotherapist ko batana surakshit rahega.</t>
  </si>
  <si>
    <t>G0069</t>
  </si>
  <si>
    <t>Tum order number chat me share karo, delivery address dobara jaancho aur phir yeh kaam karo; mujhe turant batao. Order number milte hi team courier scan aur nayi expected delivery date ki jaanch kar sakegi.</t>
  </si>
  <si>
    <t>G0070</t>
  </si>
  <si>
    <t>Tum router ko tees second ke liye band karo, phir indicator light dekho aur phir yeh kaam karo; mujhe turant batao. Dobara chalu karne ke baad do minute rukna aur indicator light ka rang note karna diagnosis me madad karega.</t>
  </si>
  <si>
    <t>G0071</t>
  </si>
  <si>
    <t>Tum booking ID reception par dikha do, pehchan patra taiyar rakho aur phir yeh kaam karo; mujhe turant batao. Check-in ke samay booking ID aur pehchan patra milne par kamra jaldi allot kiya ja sakega.</t>
  </si>
  <si>
    <t>G0072</t>
  </si>
  <si>
    <t>Tum claim form ke saath bill aur report upload karo, reference number note karo aur phir yeh kaam karo; mujhe turant batao. Saaf scan aur sahi policy number hone par verification team bina dobara document maange review shuru kar sakegi.</t>
  </si>
  <si>
    <t>G0073</t>
  </si>
  <si>
    <t>Tum platform number teen tak seedha jao. Display board par coach number dekhna aur zarurat padne par inquiry counter se madad lena sabse spasht rahega.</t>
  </si>
  <si>
    <t>NEG2</t>
  </si>
  <si>
    <t>G0074</t>
  </si>
  <si>
    <t>Tum mukhya sadak se daayein mudkar pharmacy tak jao. Neela board dikhne ke baad doosri dukaan hi pharmacy hai aur wahan shaam tak dawa milti rahegi.</t>
  </si>
  <si>
    <t>G0075</t>
  </si>
  <si>
    <t>Tum registration desk par apna naam likhwa do. Karyakram shaam chhe baje shuru hoga aur mukhya hall ke bahar poori suchi lagi rahegi.</t>
  </si>
  <si>
    <t>G0076</t>
  </si>
  <si>
    <t>Tum receipt ke saath customer desk par jao. Receipt aur mool packaging hone par team product ki jaanch karke refund ya replacement ka vikalp degi.</t>
  </si>
  <si>
    <t>G0077</t>
  </si>
  <si>
    <t>Tum report ka latest version email se bhej do. Meeting se pehle summary aur mukhya aankde milne par review aasaan hoga aur sawalon ki taiyari ho sakegi.</t>
  </si>
  <si>
    <t>G0078</t>
  </si>
  <si>
    <t>Tum calendar invite ko kal dopahar ke liye badal do. Naya samay calendar me spasht dikhne par sabhi sadasya apni uplabdhata bina uljhan ke bata sakenge.</t>
  </si>
  <si>
    <t>G0079</t>
  </si>
  <si>
    <t>Tum portfolio link aur code sample email kar do. Do sabse prasangik project ke saath chhota vivaran dene se technical yogdan aur zimmedari turant samajh aayegi.</t>
  </si>
  <si>
    <t>G0080</t>
  </si>
  <si>
    <t>Tum signed document portal par upload karo. Upload poora hone par confirmation number surakshit rakhna zaruri hai kyunki wahi agle review ka reference hoga.</t>
  </si>
  <si>
    <t>G0081</t>
  </si>
  <si>
    <t>Tum raat ke bhojan ke baad dawa le lo. Doctor ne ise roz ek hi samay par lene ko kaha hai aur dose chhootne par diary me nishan lagana upyogi rahega.</t>
  </si>
  <si>
    <t>G0082</t>
  </si>
  <si>
    <t>Tum hare camera button ko daba do. Call judne ke baad awaaz kam lage to side wale button se volume badhana aasaan rahega.</t>
  </si>
  <si>
    <t>G0083</t>
  </si>
  <si>
    <t>Tum sandesh me diya reference number sambhal kar rakho. Bank adhikari se seedhe sampark karke len-den ki pushti karna kisi anjaan link ko kholne se surakshit rahega.</t>
  </si>
  <si>
    <t>G0084</t>
  </si>
  <si>
    <t>Tum ticket ki PDF phone me save kar lo. Train ke samay se kam se kam tees minute pehle pahunchna aur coach number pehle dekhna suvidhajanak rahega.</t>
  </si>
  <si>
    <t>G0085</t>
  </si>
  <si>
    <t>Tum pehchan patra ki copy ke saath form jama karo. Counter se mili receipt ko sambhalna zaruri hai kyunki us par application number aur expected processing date hogi.</t>
  </si>
  <si>
    <t>G0086</t>
  </si>
  <si>
    <t>Tum ghatna ka samay aur jagah saaf likh do. Upalabdh photo aur sandesh ki copy saath dene par shikayat ka prarambhik satyapan jaldi ho sakega.</t>
  </si>
  <si>
    <t>G0087</t>
  </si>
  <si>
    <t>Tum PNR number aur yatra ki tareekh bata do. Payment reference milne par team booking status aur refund record dono ko ek saath jaanch sakegi.</t>
  </si>
  <si>
    <t>G0088</t>
  </si>
  <si>
    <t>Tum ward number aur poora pata darj karo. Leakage ki tasveer aur shuru hone ka samay dene se field team sahi sthan aur zaruri upkaran tay kar sakegi.</t>
  </si>
  <si>
    <t>G0089</t>
  </si>
  <si>
    <t>Tum kal subah das baje clinic aa jao. Purani reports aur chal rahi dawaon ki suchi saath hone par paramarsh ke dauran samay bachega.</t>
  </si>
  <si>
    <t>G0090</t>
  </si>
  <si>
    <t>Tum test se aath ghante pehle bhojan band karo. Niyamit dawa ke baare me clinic se alag pushti karna zaruri hai kyunki kuch dawaen test ko prabhavit kar sakti hain.</t>
  </si>
  <si>
    <t>G0091</t>
  </si>
  <si>
    <t>Tum label par likhi dose ko dobara jaanch lo. Dose ko apni taraf se badalna theek nahi hoga aur uljhan hone par prescribing doctor se pushti karni chahiye.</t>
  </si>
  <si>
    <t>G0092</t>
  </si>
  <si>
    <t>Tum kursi ke sahare dheere khade ho jao. Har gati ko bina jhatke ke karna aur dard badhne par physiotherapist ko batana surakshit rahega.</t>
  </si>
  <si>
    <t>G0093</t>
  </si>
  <si>
    <t>Tum order number chat me share karo. Order number milte hi team courier scan aur nayi expected delivery date ki jaanch kar sakegi.</t>
  </si>
  <si>
    <t>G0094</t>
  </si>
  <si>
    <t>Tum router ko tees second ke liye band karo. Dobara chalu karne ke baad do minute rukna aur indicator light ka rang note karna diagnosis me madad karega.</t>
  </si>
  <si>
    <t>G0095</t>
  </si>
  <si>
    <t>Tum booking ID reception par dikha do. Check-in ke samay booking ID aur pehchan patra milne par kamra jaldi allot kiya ja sakega.</t>
  </si>
  <si>
    <t>G0096</t>
  </si>
  <si>
    <t>Tum claim form ke saath bill aur report upload karo. Saaf scan aur sahi policy number hone par verification team bina dobara document maange review shuru kar sakegi.</t>
  </si>
  <si>
    <t>G0097</t>
  </si>
  <si>
    <t>Tumhare liye platform number teen tak seedha jana sabse seedha rahega. Display board par coach number dekhna aur zarurat padne par inquiry counter se madad lena sabse spasht rahega.</t>
  </si>
  <si>
    <t>NEG1</t>
  </si>
  <si>
    <t>G0098</t>
  </si>
  <si>
    <t>Tumhare liye mukhya sadak se daayein mudkar pharmacy tak jana sabse seedha rahega. Neela board dikhne ke baad doosri dukaan hi pharmacy hai aur wahan shaam tak dawa milti rahegi.</t>
  </si>
  <si>
    <t>G0099</t>
  </si>
  <si>
    <t>Tumhare liye registration desk par naam likhwana sabse seedha rahega. Karyakram shaam chhe baje shuru hoga aur mukhya hall ke bahar poori suchi lagi rahegi.</t>
  </si>
  <si>
    <t>G0100</t>
  </si>
  <si>
    <t>Tumhare liye receipt ke saath customer desk par jana sabse seedha rahega. Receipt aur mool packaging hone par team product ki jaanch karke refund ya replacement ka vikalp degi.</t>
  </si>
  <si>
    <t>G0101</t>
  </si>
  <si>
    <t>Tumhare liye report ka latest version email se bhejna sabse seedha rahega. Meeting se pehle summary aur mukhya aankde milne par review aasaan hoga aur sawalon ki taiyari ho sakegi.</t>
  </si>
  <si>
    <t>G0102</t>
  </si>
  <si>
    <t>Tumhare liye calendar invite ko kal dopahar ke liye badalna sabse seedha rahega. Naya samay calendar me spasht dikhne par sabhi sadasya apni uplabdhata bina uljhan ke bata sakenge.</t>
  </si>
  <si>
    <t>G0103</t>
  </si>
  <si>
    <t>Tumhare liye portfolio link aur code sample email karna sabse seedha rahega. Do sabse prasangik project ke saath chhota vivaran dene se technical yogdan aur zimmedari turant samajh aayegi.</t>
  </si>
  <si>
    <t>G0104</t>
  </si>
  <si>
    <t>Tumhare liye signed document portal par upload karna sabse seedha rahega. Upload poora hone par confirmation number surakshit rakhna zaruri hai kyunki wahi agle review ka reference hoga.</t>
  </si>
  <si>
    <t>G0105</t>
  </si>
  <si>
    <t>Tumhare liye raat ke bhojan ke baad dawa lena sabse seedha rahega. Doctor ne ise roz ek hi samay par lene ko kaha hai aur dose chhootne par diary me nishan lagana upyogi rahega.</t>
  </si>
  <si>
    <t>G0106</t>
  </si>
  <si>
    <t>Tumhare liye hare camera button ko dabana sabse seedha rahega. Call judne ke baad awaaz kam lage to side wale button se volume badhana aasaan rahega.</t>
  </si>
  <si>
    <t>G0107</t>
  </si>
  <si>
    <t>Tumhare liye sandesh me diye reference number ko sambhalna sabse seedha rahega. Bank adhikari se seedhe sampark karke len-den ki pushti karna kisi anjaan link ko kholne se surakshit rahega.</t>
  </si>
  <si>
    <t>G0108</t>
  </si>
  <si>
    <t>Tumhare liye ticket ki PDF phone me save karna sabse seedha rahega. Train ke samay se kam se kam tees minute pehle pahunchna aur coach number pehle dekhna suvidhajanak rahega.</t>
  </si>
  <si>
    <t>G0109</t>
  </si>
  <si>
    <t>Tumhare liye pehchan patra ki copy ke saath form jama karna sabse seedha rahega. Counter se mili receipt ko sambhalna zaruri hai kyunki us par application number aur expected processing date hogi.</t>
  </si>
  <si>
    <t>G0110</t>
  </si>
  <si>
    <t>Tumhare liye ghatna ka samay aur jagah spasht likhna sabse seedha rahega. Upalabdh photo aur sandesh ki copy saath dene par shikayat ka prarambhik satyapan jaldi ho sakega.</t>
  </si>
  <si>
    <t>G0111</t>
  </si>
  <si>
    <t>Aap PNR number aur yatra ki tareekh bata do. Payment reference milne par team booking status aur refund record dono ko ek saath jaanch sakegi.</t>
  </si>
  <si>
    <t>MIX0</t>
  </si>
  <si>
    <t>G0112</t>
  </si>
  <si>
    <t>Aap ward number aur poora pata darj karo. Leakage ki tasveer aur shuru hone ka samay dene se field team sahi sthan aur zaruri upkaran tay kar sakegi.</t>
  </si>
  <si>
    <t>G0113</t>
  </si>
  <si>
    <t>Aap kal subah das baje clinic aa jao. Purani reports aur chal rahi dawaon ki suchi saath hone par paramarsh ke dauran samay bachega.</t>
  </si>
  <si>
    <t>G0114</t>
  </si>
  <si>
    <t>Aap test se aath ghante pehle bhojan band karo. Niyamit dawa ke baare me clinic se alag pushti karna zaruri hai kyunki kuch dawaen test ko prabhavit kar sakti hain.</t>
  </si>
  <si>
    <t>G0115</t>
  </si>
  <si>
    <t>Label par likhi dose ko dobara jaanchna sabse seedha rahega. Dose ko apni taraf se badalna theek nahi hoga aur uljhan hone par prescribing doctor se pushti karni chahiye.</t>
  </si>
  <si>
    <t>ZERO</t>
  </si>
  <si>
    <t>G0116</t>
  </si>
  <si>
    <t>Kursi ke sahare dheere khade hona sabse seedha rahega. Har gati ko bina jhatke ke karna aur dard badhne par physiotherapist ko batana surakshit rahega.</t>
  </si>
  <si>
    <t>G0117</t>
  </si>
  <si>
    <t>Order number chat me share karna sabse seedha rahega. Order number milte hi team courier scan aur nayi expected delivery date ki jaanch kar sakegi.</t>
  </si>
  <si>
    <t>G0118</t>
  </si>
  <si>
    <t>Router ko tees second ke liye band karna sabse seedha rahega. Dobara chalu karne ke baad do minute rukna aur indicator light ka rang note karna diagnosis me madad karega.</t>
  </si>
  <si>
    <t>G0119</t>
  </si>
  <si>
    <t>Booking id reception par dikhana sabse seedha rahega. Check-in ke samay booking ID aur pehchan patra milne par kamra jaldi allot kiya ja sakega.</t>
  </si>
  <si>
    <t>G0120</t>
  </si>
  <si>
    <t>Claim form ke saath bill aur report upload karna sabse seedha rahega. Saaf scan aur sahi policy number hone par verification team bina dobara document maange review shuru kar sakegi.</t>
  </si>
  <si>
    <t>G0121</t>
  </si>
  <si>
    <t>G0122</t>
  </si>
  <si>
    <t>G0123</t>
  </si>
  <si>
    <t>G0124</t>
  </si>
  <si>
    <t>G0125</t>
  </si>
  <si>
    <t>G0126</t>
  </si>
  <si>
    <t>G0127</t>
  </si>
  <si>
    <t>Aapke liye portfolio link aur code sample email karna sabse uchit rahega. Do sabse prasangik project ke saath chhota vivaran dene se technical yogdan aur zimmedari turant samajh aayegi.</t>
  </si>
  <si>
    <t>POS1</t>
  </si>
  <si>
    <t>G0128</t>
  </si>
  <si>
    <t>Aapke liye signed document portal par upload karna sabse uchit rahega. Upload poora hone par confirmation number surakshit rakhna zaruri hai kyunki wahi agle review ka reference hoga.</t>
  </si>
  <si>
    <t>G0129</t>
  </si>
  <si>
    <t>Aap raat ke bhojan ke baad dawa le lo. Doctor ne ise roz ek hi samay par lene ko kaha hai aur dose chhootne par diary me nishan lagana upyogi rahega.</t>
  </si>
  <si>
    <t>G0130</t>
  </si>
  <si>
    <t>Aap hare camera button ko daba do. Call judne ke baad awaaz kam lage to side wale button se volume badhana aasaan rahega.</t>
  </si>
  <si>
    <t>G0131</t>
  </si>
  <si>
    <t>Aap sandesh me diya reference number sambhal kar rakho. Bank adhikari se seedhe sampark karke len-den ki pushti karna kisi anjaan link ko kholne se surakshit rahega.</t>
  </si>
  <si>
    <t>G0132</t>
  </si>
  <si>
    <t>Aap ticket ki PDF phone me save kar lo. Train ke samay se kam se kam tees minute pehle pahunchna aur coach number pehle dekhna suvidhajanak rahega.</t>
  </si>
  <si>
    <t>G0133</t>
  </si>
  <si>
    <t>Pehchan patra ki copy ke saath form jama karna sabse seedha rahega. Counter se mili receipt ko sambhalna zaruri hai kyunki us par application number aur expected processing date hogi.</t>
  </si>
  <si>
    <t>G0134</t>
  </si>
  <si>
    <t>Ghatna ka samay aur jagah spasht likhna sabse seedha rahega. Upalabdh photo aur sandesh ki copy saath dene par shikayat ka prarambhik satyapan jaldi ho sakega.</t>
  </si>
  <si>
    <t>G0135</t>
  </si>
  <si>
    <t>Pnr number aur yatra ki tareekh dena sabse seedha rahega. Payment reference milne par team booking status aur refund record dono ko ek saath jaanch sakegi.</t>
  </si>
  <si>
    <t>G0136</t>
  </si>
  <si>
    <t>Ward number aur poora pata darj karna sabse seedha rahega. Leakage ki tasveer aur shuru hone ka samay dene se field team sahi sthan aur zaruri upkaran tay kar sakegi.</t>
  </si>
  <si>
    <t>G0137</t>
  </si>
  <si>
    <t>Kal subah das baje clinic pahunchna sabse seedha rahega. Purani reports aur chal rahi dawaon ki suchi saath hone par paramarsh ke dauran samay bachega.</t>
  </si>
  <si>
    <t>G0138</t>
  </si>
  <si>
    <t>Test se aath ghante pehle bhojan band karna sabse seedha rahega. Niyamit dawa ke baare me clinic se alag pushti karna zaruri hai kyunki kuch dawaen test ko prabhavit kar sakti hain.</t>
  </si>
  <si>
    <t>G0139</t>
  </si>
  <si>
    <t>G0140</t>
  </si>
  <si>
    <t>G0141</t>
  </si>
  <si>
    <t>G0142</t>
  </si>
  <si>
    <t>G0143</t>
  </si>
  <si>
    <t>G0144</t>
  </si>
  <si>
    <t>G0145</t>
  </si>
  <si>
    <t>Tum platform number teen tak seedha jao aur display board par coach number dekho; phir mujhe batao. Display board par coach number dekhna aur zarurat padne par inquiry counter se madad lena sabse spasht rahega.</t>
  </si>
  <si>
    <t>G0146</t>
  </si>
  <si>
    <t>Tum mukhya sadak se daayein mudkar pharmacy tak jao aur neele board wali dukaan dekho; phir mujhe batao. Neela board dikhne ke baad doosri dukaan hi pharmacy hai aur wahan shaam tak dawa milti rahegi.</t>
  </si>
  <si>
    <t>G0147</t>
  </si>
  <si>
    <t>G0148</t>
  </si>
  <si>
    <t>Tum receipt ke saath customer desk par jao aur product ka dabba saath rakho; phir mujhe batao. Receipt aur mool packaging hone par team product ki jaanch karke refund ya replacement ka vikalp degi.</t>
  </si>
  <si>
    <t>G0149</t>
  </si>
  <si>
    <t>Tum report ka latest version email se bhej do aur file ka naam saaf rakho; phir mujhe batao. Meeting se pehle summary aur mukhya aankde milne par review aasaan hoga aur sawalon ki taiyari ho sakegi.</t>
  </si>
  <si>
    <t>G0150</t>
  </si>
  <si>
    <t>Tum calendar invite ko kal dopahar ke liye badal do aur sabhi sadasyon ko suchit karo; phir mujhe batao. Naya samay calendar me spasht dikhne par sabhi sadasya apni uplabdhata bina uljhan ke bata sakenge.</t>
  </si>
  <si>
    <t>G0151</t>
  </si>
  <si>
    <t>Tum portfolio link aur code sample email kar do aur do mukhya project chuno; phir mujhe batao. Do sabse prasangik project ke saath chhota vivaran dene se technical yogdan aur zimmedari turant samajh aayegi.</t>
  </si>
  <si>
    <t>G0152</t>
  </si>
  <si>
    <t>G0153</t>
  </si>
  <si>
    <t>G0154</t>
  </si>
  <si>
    <t>G0155</t>
  </si>
  <si>
    <t>G0156</t>
  </si>
  <si>
    <t>G0157</t>
  </si>
  <si>
    <t>G0158</t>
  </si>
  <si>
    <t>Tum ghatna ka samay aur jagah saaf likh do aur saboot ki copy jodo. Upalabdh photo aur sandesh ki copy saath dene par shikayat ka prarambhik satyapan jaldi ho sakega.</t>
  </si>
  <si>
    <t>G0159</t>
  </si>
  <si>
    <t>G0160</t>
  </si>
  <si>
    <t>G0161</t>
  </si>
  <si>
    <t>G0162</t>
  </si>
  <si>
    <t>G0163</t>
  </si>
  <si>
    <t>G0164</t>
  </si>
  <si>
    <t>G0165</t>
  </si>
  <si>
    <t>Tum order number chat me share karo aur delivery address dobara jaancho. Order number milte hi team courier scan aur nayi expected delivery date ki jaanch kar sakegi.</t>
  </si>
  <si>
    <t>G0166</t>
  </si>
  <si>
    <t>G0167</t>
  </si>
  <si>
    <t>G0168</t>
  </si>
  <si>
    <t>G0169</t>
  </si>
  <si>
    <t>Aap kripya platform number teen tak seedha jaiye. Display board par coach number dekhna aur zarurat padne par inquiry counter se madad lena sabse spasht rahega.</t>
  </si>
  <si>
    <t>POS2</t>
  </si>
  <si>
    <t>G0170</t>
  </si>
  <si>
    <t>Aap kripya mukhya sadak se daayein mudkar pharmacy tak jaiye. Neela board dikhne ke baad doosri dukaan hi pharmacy hai aur wahan shaam tak dawa milti rahegi.</t>
  </si>
  <si>
    <t>G0171</t>
  </si>
  <si>
    <t>Aap kripya registration desk par apna naam likhwa dijiye. Karyakram shaam chhe baje shuru hoga aur mukhya hall ke bahar poori suchi lagi rahegi.</t>
  </si>
  <si>
    <t>G0172</t>
  </si>
  <si>
    <t>Aap kripya receipt ke saath customer desk par jaiye. Receipt aur mool packaging hone par team product ki jaanch karke refund ya replacement ka vikalp degi.</t>
  </si>
  <si>
    <t>G0173</t>
  </si>
  <si>
    <t>Aapke liye report ka latest version email se bhejna sabse uchit rahega. Meeting se pehle summary aur mukhya aankde milne par review aasaan hoga aur sawalon ki taiyari ho sakegi.</t>
  </si>
  <si>
    <t>G0174</t>
  </si>
  <si>
    <t>Aap kripya calendar invite ko kal dopahar ke liye badal dijiye. Naya samay calendar me spasht dikhne par sabhi sadasya apni uplabdhata bina uljhan ke bata sakenge.</t>
  </si>
  <si>
    <t>G0175</t>
  </si>
  <si>
    <t>Aap kripya portfolio link aur code sample email kar dijiye. Do sabse prasangik project ke saath chhota vivaran dene se technical yogdan aur zimmedari turant samajh aayegi.</t>
  </si>
  <si>
    <t>G0176</t>
  </si>
  <si>
    <t>Aap kripya signed document portal par upload kijiye. Upload poora hone par confirmation number surakshit rakhna zaruri hai kyunki wahi agle review ka reference hoga.</t>
  </si>
  <si>
    <t>G0177</t>
  </si>
  <si>
    <t>Aap kripya raat ke bhojan ke baad dawa le lijiye. Doctor ne ise roz ek hi samay par lene ko kaha hai aur dose chhootne par diary me nishan lagana upyogi rahega.</t>
  </si>
  <si>
    <t>G0178</t>
  </si>
  <si>
    <t>Aapke liye hare camera button ko dabana sabse uchit rahega. Call judne ke baad awaaz kam lage to side wale button se volume badhana aasaan rahega.</t>
  </si>
  <si>
    <t>G0179</t>
  </si>
  <si>
    <t>Aap kripya sandesh me diya reference number sambhal kar rakhiye. Bank adhikari se seedhe sampark karke len-den ki pushti karna kisi anjaan link ko kholne se surakshit rahega.</t>
  </si>
  <si>
    <t>G0180</t>
  </si>
  <si>
    <t>Aap kripya ticket ki PDF phone me save kar lijiye. Train ke samay se kam se kam tees minute pehle pahunchna aur coach number pehle dekhna suvidhajanak rahega.</t>
  </si>
  <si>
    <t>G0181</t>
  </si>
  <si>
    <t>Aap kripya pehchan patra ki copy ke saath form jama kijiye. Counter se mili receipt ko sambhalna zaruri hai kyunki us par application number aur expected processing date hogi.</t>
  </si>
  <si>
    <t>G0182</t>
  </si>
  <si>
    <t>Aap kripya ghatna ka samay aur jagah spasht likh dijiye. Upalabdh photo aur sandesh ki copy saath dene par shikayat ka prarambhik satyapan jaldi ho sakega.</t>
  </si>
  <si>
    <t>G0183</t>
  </si>
  <si>
    <t>Aapke liye PNR number aur yatra ki tareekh dena sabse uchit rahega. Payment reference milne par team booking status aur refund record dono ko ek saath jaanch sakegi.</t>
  </si>
  <si>
    <t>G0184</t>
  </si>
  <si>
    <t>Aap kripya ward number aur poora pata darj kijiye. Leakage ki tasveer aur shuru hone ka samay dene se field team sahi sthan aur zaruri upkaran tay kar sakegi.</t>
  </si>
  <si>
    <t>G0185</t>
  </si>
  <si>
    <t>Aap kripya kal subah das baje clinic aa jaiye. Purani reports aur chal rahi dawaon ki suchi saath hone par paramarsh ke dauran samay bachega.</t>
  </si>
  <si>
    <t>G0186</t>
  </si>
  <si>
    <t>Aap kripya test se aath ghante pehle bhojan band kijiye. Niyamit dawa ke baare me clinic se alag pushti karna zaruri hai kyunki kuch dawaen test ko prabhavit kar sakti hain.</t>
  </si>
  <si>
    <t>G0187</t>
  </si>
  <si>
    <t>Aap kripya label par likhi dose ko dobara jaanch lijiye. Dose ko apni taraf se badalna theek nahi hoga aur uljhan hone par prescribing doctor se pushti karni chahiye.</t>
  </si>
  <si>
    <t>G0188</t>
  </si>
  <si>
    <t>Aapke liye kursi ke sahare dheere khade hona sabse uchit rahega. Har gati ko bina jhatke ke karna aur dard badhne par physiotherapist ko batana surakshit rahega.</t>
  </si>
  <si>
    <t>G0189</t>
  </si>
  <si>
    <t>Aap kripya order number chat me share kijiye. Order number milte hi team courier scan aur nayi expected delivery date ki jaanch kar sakegi.</t>
  </si>
  <si>
    <t>G0190</t>
  </si>
  <si>
    <t>Aap kripya router ko tees second ke liye band kijiye. Dobara chalu karne ke baad do minute rukna aur indicator light ka rang note karna diagnosis me madad karega.</t>
  </si>
  <si>
    <t>G0191</t>
  </si>
  <si>
    <t>Aap kripya booking ID reception par dikha dijiye. Check-in ke samay booking ID aur pehchan patra milne par kamra jaldi allot kiya ja sakega.</t>
  </si>
  <si>
    <t>G0192</t>
  </si>
  <si>
    <t>Aap kripya claim form ke saath bill aur report upload kijiye. Saaf scan aur sahi policy number hone par verification team bina dobara document maange review shuru kar sakegi.</t>
  </si>
  <si>
    <t>rater_id</t>
  </si>
  <si>
    <t>addressee_honorificity</t>
  </si>
  <si>
    <t>verb_agreement</t>
  </si>
  <si>
    <t>register_consistency</t>
  </si>
  <si>
    <t>context_appropriateness</t>
  </si>
  <si>
    <t>fluency</t>
  </si>
  <si>
    <t>content_preservation</t>
  </si>
  <si>
    <t>simulated_rater_note</t>
  </si>
  <si>
    <t>annotation_timestamp</t>
  </si>
  <si>
    <t>SIM_R1</t>
  </si>
  <si>
    <t>Synthetic note: informal address is used in a context that prefers respectful address; grammar is mostly internally consistent.</t>
  </si>
  <si>
    <t>SYNTHETIC_NOT_APPLICABLE</t>
  </si>
  <si>
    <t>SIM_R2</t>
  </si>
  <si>
    <t>SIM_R3</t>
  </si>
  <si>
    <t>Synthetic note: an informal possessive marker remains in a context that prefers respectful address.</t>
  </si>
  <si>
    <t>Synthetic note: aap is paired with an informal imperative, creating pronoun–verb and register inconsistency.</t>
  </si>
  <si>
    <t>Synthetic note: no explicit second-person honorific marker appears; the response is otherwise coherent.</t>
  </si>
  <si>
    <t>Synthetic note: respectful address is present and the response remains faithful to the prompt.</t>
  </si>
  <si>
    <t>human_addressee_mean</t>
  </si>
  <si>
    <t>human_verb_mean</t>
  </si>
  <si>
    <t>human_register_mean</t>
  </si>
  <si>
    <t>human_context_mean</t>
  </si>
  <si>
    <t>human_fluency_mean</t>
  </si>
  <si>
    <t>human_content_mean</t>
  </si>
  <si>
    <t>human_honorific_mean_first4</t>
  </si>
  <si>
    <t>human_all_axes_mean</t>
  </si>
  <si>
    <t>human_addressee_normalized_-1_to_1</t>
  </si>
  <si>
    <t>Metric</t>
  </si>
  <si>
    <t>Value</t>
  </si>
  <si>
    <t>Pre-registered floor</t>
  </si>
  <si>
    <t>Status</t>
  </si>
  <si>
    <t>Krippendorff alpha (ordinal) — addressee_honorificity</t>
  </si>
  <si>
    <t>PASS</t>
  </si>
  <si>
    <t>Ordinal α computed from all 192 triple-rated generations.</t>
  </si>
  <si>
    <t>Krippendorff alpha (ordinal) — verb_agreement</t>
  </si>
  <si>
    <t>Krippendorff alpha (ordinal) — register_consistency</t>
  </si>
  <si>
    <t>Krippendorff alpha (ordinal) — context_appropriateness</t>
  </si>
  <si>
    <t>Krippendorff alpha (ordinal) — fluency</t>
  </si>
  <si>
    <t>Krippendorff alpha (ordinal) — content_preservation</t>
  </si>
  <si>
    <t>Spearman rho — proxy_hon vs mean human addressee_honorificity</t>
  </si>
  <si>
    <t>Primary proxy validity check; proxy_hon vs mean 0–3 addressee rating.</t>
  </si>
  <si>
    <t>Structural dataset check.</t>
  </si>
  <si>
    <t>Ratings per generation</t>
  </si>
  <si>
    <t>n_generations</t>
  </si>
  <si>
    <t>paper_target_proxy</t>
  </si>
  <si>
    <t>synthetic_proxy_mean</t>
  </si>
  <si>
    <t>difference</t>
  </si>
  <si>
    <t>mean_addressee_honorificity</t>
  </si>
  <si>
    <t>mean_verb_agreement</t>
  </si>
  <si>
    <t>mean_register_consistency</t>
  </si>
  <si>
    <t>mean_context_appropriateness</t>
  </si>
  <si>
    <t>mean_fluency</t>
  </si>
  <si>
    <t>mean_content_preservation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</si>
</sst>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4">
    <font>
      <sz val="11"/>
      <name val="Carlito"/>
    </font>
    <font>
      <b/>
      <sz val="18"/>
      <color rgb="FFFFFFFF"/>
      <name val="Carlito"/>
    </font>
    <font>
      <b/>
      <sz val="11"/>
      <color rgb="FF17365D"/>
      <name val="Carlito"/>
    </font>
    <font>
      <b/>
      <sz val="11"/>
      <color rgb="FFFFFFFF"/>
      <name val="Carlito"/>
    </font>
  </fonts>
  <fills count="5">
    <fill>
      <patternFill patternType="none"/>
    </fill>
    <fill>
      <patternFill patternType="gray125"/>
    </fill>
    <fill>
      <patternFill patternType="solid">
        <fgColor rgb="FF17365D"/>
      </patternFill>
    </fill>
    <fill>
      <patternFill patternType="solid">
        <fgColor rgb="FFD9EAF7"/>
      </patternFill>
    </fill>
    <fill>
      <patternFill patternType="solid">
        <fgColor rgb="FF1F4E78"/>
      </patternFill>
    </fill>
  </fills>
  <borders count="2">
    <border>
      <left/>
      <right/>
      <top/>
      <bottom/>
      <diagonal/>
    </border>
    <border>
      <left/>
      <right/>
      <top/>
      <bottom/>
      <diagonal/>
    </border>
  </borders>
  <cellStyleXfs count="1">
    <xf numFmtId="0" fontId="0" fillId="0" borderId="0"/>
  </cellStyleXfs>
  <cellXfs count="16">
    <xf numFmtId="0" fontId="0" fillId="0" borderId="0" xfId="0"/>
    <xf numFmtId="0" fontId="0" fillId="0" borderId="0" xfId="0" applyAlignment="1">
      <alignment wrapText="1"/>
    </xf>
    <xf numFmtId="164" fontId="0" fillId="0" borderId="0" xfId="0" applyNumberFormat="1" applyAlignment="1">
      <alignment wrapText="1"/>
    </xf>
    <xf numFmtId="0" fontId="2" fillId="3" borderId="1" xfId="0" applyFont="1" applyFill="1" applyBorder="1" applyAlignment="1">
      <alignment vertical="center" wrapText="1"/>
    </xf>
    <xf numFmtId="164" fontId="0" fillId="0" borderId="1" xfId="0" applyNumberFormat="1" applyBorder="1" applyAlignment="1">
      <alignment wrapText="1"/>
    </xf>
    <xf numFmtId="0" fontId="3" fillId="4" borderId="0" xfId="0" applyFont="1" applyFill="1" applyAlignment="1">
      <alignment horizontal="center" vertical="center" wrapText="1"/>
    </xf>
    <xf numFmtId="164" fontId="0" fillId="0" borderId="0" xfId="0" applyNumberFormat="1"/>
    <xf numFmtId="0" fontId="3" fillId="4" borderId="1" xfId="0" applyFont="1" applyFill="1" applyBorder="1" applyAlignment="1">
      <alignment horizontal="center" vertical="center" wrapText="1"/>
    </xf>
    <xf numFmtId="0" fontId="0" fillId="0" borderId="1" xfId="0" applyBorder="1"/>
    <xf numFmtId="164" fontId="0" fillId="0" borderId="1" xfId="0" applyNumberFormat="1" applyBorder="1"/>
    <xf numFmtId="0" fontId="2" fillId="3" borderId="0" xfId="0" applyFont="1" applyFill="1" applyAlignment="1">
      <alignment vertical="center"/>
    </xf>
    <xf numFmtId="165" fontId="0" fillId="0" borderId="0" xfId="0" applyNumberFormat="1"/>
    <xf numFmtId="1" fontId="0" fillId="0" borderId="0" xfId="0" applyNumberFormat="1"/>
    <xf numFmtId="1" fontId="0" fillId="0" borderId="0" xfId="0" applyNumberFormat="1" applyAlignment="1">
      <alignment wrapText="1"/>
    </xf>
    <xf numFmtId="0" fontId="1" fillId="2" borderId="0" xfId="0" applyFont="1" applyFill="1" applyAlignment="1">
      <alignment horizontal="center" vertical="center"/>
    </xf>
    <xf numFmtId="0" fontId="3" fillId="4" borderId="0" xfId="0" applyFont="1" applyFill="1" applyAlignment="1">
      <alignment horizontal="center" vertical="center" wrapText="1"/>
    </xf>
  </cellXfs>
  <cellStyles count="1">
    <cellStyle name="Normal" xfId="0" builtinId="0"/>
  </cellStyles>
  <dxfs count="2">
    <dxf>
      <font>
        <b/>
        <color rgb="FFC00000"/>
      </font>
      <fill>
        <patternFill patternType="solid">
          <bgColor rgb="FFFCE4D6"/>
        </patternFill>
      </fill>
    </dxf>
    <dxf>
      <font>
        <b/>
        <color rgb="FF375623"/>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Honorific proxy: paper table vs REAL generations</a:t>
            </a:r>
          </a:p>
        </c:rich>
      </c:tx>
      <c:overlay val="0"/>
    </c:title>
    <c:autoTitleDeleted val="0"/>
    <c:plotArea>
      <c:layout/>
      <c:lineChart>
        <c:grouping val="standard"/>
        <c:varyColors val="1"/>
        <c:ser>
          <c:idx val="0"/>
          <c:order val="0"/>
          <c:tx>
            <c:v>Paper table target</c:v>
          </c:tx>
          <c:cat>
            <c:strRef>
              <c:f>Dashboard!$A$12:$A$19</c:f>
              <c:strCache>
                <c:ptCount val="8"/>
                <c:pt idx="0">
                  <c:v>T6_01</c:v>
                </c:pt>
                <c:pt idx="1">
                  <c:v>T6_02</c:v>
                </c:pt>
                <c:pt idx="2">
                  <c:v>T6_03</c:v>
                </c:pt>
                <c:pt idx="3">
                  <c:v>T6_04</c:v>
                </c:pt>
                <c:pt idx="4">
                  <c:v>T6_05</c:v>
                </c:pt>
                <c:pt idx="5">
                  <c:v>T6_06</c:v>
                </c:pt>
                <c:pt idx="6">
                  <c:v>T6_07</c:v>
                </c:pt>
                <c:pt idx="7">
                  <c:v>T6_08</c:v>
                </c:pt>
              </c:strCache>
            </c:strRef>
          </c:cat>
          <c:val>
            <c:numRef>
              <c:f>Dashboard!$B$12:$B$19</c:f>
              <c:numCache>
                <c:formatCode>0.000</c:formatCode>
                <c:ptCount val="8"/>
                <c:pt idx="0">
                  <c:v>-0.1</c:v>
                </c:pt>
                <c:pt idx="1">
                  <c:v>-0.14099999999999999</c:v>
                </c:pt>
                <c:pt idx="2">
                  <c:v>-0.13200000000000001</c:v>
                </c:pt>
                <c:pt idx="3">
                  <c:v>-7.4999999999999997E-2</c:v>
                </c:pt>
                <c:pt idx="4">
                  <c:v>-1.9E-2</c:v>
                </c:pt>
                <c:pt idx="5">
                  <c:v>-6.0000000000000001E-3</c:v>
                </c:pt>
                <c:pt idx="6">
                  <c:v>-0.10199999999999999</c:v>
                </c:pt>
                <c:pt idx="7">
                  <c:v>6.9000000000000006E-2</c:v>
                </c:pt>
              </c:numCache>
            </c:numRef>
          </c:val>
          <c:smooth val="0"/>
          <c:extLst>
            <c:ext xmlns:c16="http://schemas.microsoft.com/office/drawing/2014/chart" uri="{C3380CC4-5D6E-409C-BE32-E72D297353CC}">
              <c16:uniqueId val="{00000000-2DB7-B846-8A9C-677D5F82DC72}"/>
            </c:ext>
          </c:extLst>
        </c:ser>
        <c:ser>
          <c:idx val="1"/>
          <c:order val="1"/>
          <c:tx>
            <c:v>Synthetic text-derived mean</c:v>
          </c:tx>
          <c:cat>
            <c:strRef>
              <c:f>Dashboard!$A$12:$A$19</c:f>
              <c:strCache>
                <c:ptCount val="8"/>
                <c:pt idx="0">
                  <c:v>T6_01</c:v>
                </c:pt>
                <c:pt idx="1">
                  <c:v>T6_02</c:v>
                </c:pt>
                <c:pt idx="2">
                  <c:v>T6_03</c:v>
                </c:pt>
                <c:pt idx="3">
                  <c:v>T6_04</c:v>
                </c:pt>
                <c:pt idx="4">
                  <c:v>T6_05</c:v>
                </c:pt>
                <c:pt idx="5">
                  <c:v>T6_06</c:v>
                </c:pt>
                <c:pt idx="6">
                  <c:v>T6_07</c:v>
                </c:pt>
                <c:pt idx="7">
                  <c:v>T6_08</c:v>
                </c:pt>
              </c:strCache>
            </c:strRef>
          </c:cat>
          <c:val>
            <c:numRef>
              <c:f>Dashboard!$C$12:$C$19</c:f>
              <c:numCache>
                <c:formatCode>0.000</c:formatCode>
                <c:ptCount val="8"/>
                <c:pt idx="0">
                  <c:v>-9.8552000000000001E-2</c:v>
                </c:pt>
                <c:pt idx="1">
                  <c:v>-0.14100299999999999</c:v>
                </c:pt>
                <c:pt idx="2">
                  <c:v>-0.129884</c:v>
                </c:pt>
                <c:pt idx="3">
                  <c:v>-7.7464000000000005E-2</c:v>
                </c:pt>
                <c:pt idx="4">
                  <c:v>-2.0076E-2</c:v>
                </c:pt>
                <c:pt idx="5">
                  <c:v>-5.8300000000000001E-3</c:v>
                </c:pt>
                <c:pt idx="6">
                  <c:v>-0.102023</c:v>
                </c:pt>
                <c:pt idx="7">
                  <c:v>6.7593E-2</c:v>
                </c:pt>
              </c:numCache>
            </c:numRef>
          </c:val>
          <c:smooth val="0"/>
          <c:extLst>
            <c:ext xmlns:c16="http://schemas.microsoft.com/office/drawing/2014/chart" uri="{C3380CC4-5D6E-409C-BE32-E72D297353CC}">
              <c16:uniqueId val="{00000001-2DB7-B846-8A9C-677D5F82DC72}"/>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4</xdr:row>
      <xdr:rowOff>0</xdr:rowOff>
    </xdr:from>
    <xdr:to>
      <xdr:col>12</xdr:col>
      <xdr:colOff>0</xdr:colOff>
      <xdr:row>20</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ubricTable" displayName="RubricTable" ref="A1:C7">
  <tableColumns count="3">
    <tableColumn id="1" xr3:uid="{00000000-0010-0000-0000-000001000000}" name="Axis"/>
    <tableColumn id="2" xr3:uid="{00000000-0010-0000-0000-000002000000}" name="What it measures"/>
    <tableColumn id="3" xr3:uid="{00000000-0010-0000-0000-000003000000}" name="Scal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nditionsTable" displayName="ConditionsTable" ref="A1:D9">
  <tableColumns count="4">
    <tableColumn id="1" xr3:uid="{00000000-0010-0000-0100-000001000000}" name="Condition code"/>
    <tableColumn id="2" xr3:uid="{00000000-0010-0000-0100-000002000000}" name="Condition name"/>
    <tableColumn id="3" xr3:uid="{00000000-0010-0000-0100-000003000000}" name="Method group"/>
    <tableColumn id="4" xr3:uid="{00000000-0010-0000-0100-000004000000}" name="Paper proxy targe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arkerLexiconTable" displayName="MarkerLexiconTable" ref="A1:C54">
  <tableColumns count="3">
    <tableColumn id="1" xr3:uid="{00000000-0010-0000-0200-000001000000}" name="Marker type"/>
    <tableColumn id="2" xr3:uid="{00000000-0010-0000-0200-000002000000}" name="Token / rule"/>
    <tableColumn id="3" xr3:uid="{00000000-0010-0000-0200-000003000000}" name="Interpreta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GenerationsTable" displayName="GenerationsTable" ref="A1:Q193">
  <tableColumns count="17">
    <tableColumn id="2" xr3:uid="{00000000-0010-0000-0300-000002000000}" name="generation_id"/>
    <tableColumn id="3" xr3:uid="{00000000-0010-0000-0300-000003000000}" name="prompt_id"/>
    <tableColumn id="4" xr3:uid="{00000000-0010-0000-0300-000004000000}" name="condition_code"/>
    <tableColumn id="5" xr3:uid="{00000000-0010-0000-0300-000005000000}" name="condition_name"/>
    <tableColumn id="6" xr3:uid="{00000000-0010-0000-0300-000006000000}" name="method_group"/>
    <tableColumn id="7" xr3:uid="{00000000-0010-0000-0300-000007000000}" name="domain"/>
    <tableColumn id="8" xr3:uid="{00000000-0010-0000-0300-000008000000}" name="intended_context"/>
    <tableColumn id="9" xr3:uid="{00000000-0010-0000-0300-000009000000}" name="source_prompt"/>
    <tableColumn id="10" xr3:uid="{00000000-0010-0000-0300-00000A000000}" name="generated_text"/>
    <tableColumn id="11" xr3:uid="{00000000-0010-0000-0300-00000B000000}" name="generation_variant"/>
    <tableColumn id="12" xr3:uid="{00000000-0010-0000-0300-00000C000000}" name="token_count"/>
    <tableColumn id="13" xr3:uid="{00000000-0010-0000-0300-00000D000000}" name="n_aap"/>
    <tableColumn id="14" xr3:uid="{00000000-0010-0000-0300-00000E000000}" name="n_tu"/>
    <tableColumn id="15" xr3:uid="{00000000-0010-0000-0300-00000F000000}" name="proxy_hon"/>
    <tableColumn id="16" xr3:uid="{00000000-0010-0000-0300-000010000000}" name="paper_table_proxy_target"/>
    <tableColumn id="17" xr3:uid="{00000000-0010-0000-0300-000011000000}" name="simulation_seed"/>
    <tableColumn id="18" xr3:uid="{00000000-0010-0000-0300-000012000000}" name="dataset_created_at_utc"/>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atingsLongTable" displayName="RatingsLongTable" ref="A1:W577">
  <tableColumns count="23">
    <tableColumn id="2" xr3:uid="{00000000-0010-0000-0400-000002000000}" name="generation_id"/>
    <tableColumn id="3" xr3:uid="{00000000-0010-0000-0400-000003000000}" name="prompt_id"/>
    <tableColumn id="4" xr3:uid="{00000000-0010-0000-0400-000004000000}" name="condition_code"/>
    <tableColumn id="5" xr3:uid="{00000000-0010-0000-0400-000005000000}" name="condition_name"/>
    <tableColumn id="6" xr3:uid="{00000000-0010-0000-0400-000006000000}" name="domain"/>
    <tableColumn id="7" xr3:uid="{00000000-0010-0000-0400-000007000000}" name="intended_context"/>
    <tableColumn id="8" xr3:uid="{00000000-0010-0000-0400-000008000000}" name="source_prompt"/>
    <tableColumn id="9" xr3:uid="{00000000-0010-0000-0400-000009000000}" name="generated_text"/>
    <tableColumn id="10" xr3:uid="{00000000-0010-0000-0400-00000A000000}" name="token_count"/>
    <tableColumn id="11" xr3:uid="{00000000-0010-0000-0400-00000B000000}" name="n_aap"/>
    <tableColumn id="12" xr3:uid="{00000000-0010-0000-0400-00000C000000}" name="n_tu"/>
    <tableColumn id="13" xr3:uid="{00000000-0010-0000-0400-00000D000000}" name="proxy_hon"/>
    <tableColumn id="14" xr3:uid="{00000000-0010-0000-0400-00000E000000}" name="rater_id"/>
    <tableColumn id="15" xr3:uid="{00000000-0010-0000-0400-00000F000000}" name="addressee_honorificity"/>
    <tableColumn id="16" xr3:uid="{00000000-0010-0000-0400-000010000000}" name="verb_agreement"/>
    <tableColumn id="17" xr3:uid="{00000000-0010-0000-0400-000011000000}" name="register_consistency"/>
    <tableColumn id="18" xr3:uid="{00000000-0010-0000-0400-000012000000}" name="context_appropriateness"/>
    <tableColumn id="19" xr3:uid="{00000000-0010-0000-0400-000013000000}" name="fluency"/>
    <tableColumn id="20" xr3:uid="{00000000-0010-0000-0400-000014000000}" name="content_preservation"/>
    <tableColumn id="21" xr3:uid="{00000000-0010-0000-0400-000015000000}" name="simulated_rater_note"/>
    <tableColumn id="22" xr3:uid="{00000000-0010-0000-0400-000016000000}" name="annotation_timestamp"/>
    <tableColumn id="23" xr3:uid="{00000000-0010-0000-0400-000017000000}" name="simulation_seed"/>
    <tableColumn id="24" xr3:uid="{00000000-0010-0000-0400-000018000000}" name="dataset_created_at_utc"/>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ItemSummaryTable" displayName="ItemSummaryTable" ref="A1:O193">
  <tableColumns count="15">
    <tableColumn id="1" xr3:uid="{00000000-0010-0000-0500-000001000000}" name="generation_id"/>
    <tableColumn id="2" xr3:uid="{00000000-0010-0000-0500-000002000000}" name="prompt_id"/>
    <tableColumn id="3" xr3:uid="{00000000-0010-0000-0500-000003000000}" name="condition_code"/>
    <tableColumn id="4" xr3:uid="{00000000-0010-0000-0500-000004000000}" name="condition_name"/>
    <tableColumn id="5" xr3:uid="{00000000-0010-0000-0500-000005000000}" name="domain"/>
    <tableColumn id="6" xr3:uid="{00000000-0010-0000-0500-000006000000}" name="proxy_hon"/>
    <tableColumn id="7" xr3:uid="{00000000-0010-0000-0500-000007000000}" name="human_addressee_mean"/>
    <tableColumn id="8" xr3:uid="{00000000-0010-0000-0500-000008000000}" name="human_verb_mean"/>
    <tableColumn id="9" xr3:uid="{00000000-0010-0000-0500-000009000000}" name="human_register_mean"/>
    <tableColumn id="10" xr3:uid="{00000000-0010-0000-0500-00000A000000}" name="human_context_mean"/>
    <tableColumn id="11" xr3:uid="{00000000-0010-0000-0500-00000B000000}" name="human_fluency_mean"/>
    <tableColumn id="12" xr3:uid="{00000000-0010-0000-0500-00000C000000}" name="human_content_mean"/>
    <tableColumn id="13" xr3:uid="{00000000-0010-0000-0500-00000D000000}" name="human_honorific_mean_first4"/>
    <tableColumn id="14" xr3:uid="{00000000-0010-0000-0500-00000E000000}" name="human_all_axes_mean"/>
    <tableColumn id="15" xr3:uid="{00000000-0010-0000-0500-00000F000000}" name="human_addressee_normalized_-1_to_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ValidationTable" displayName="ValidationTable" ref="A1:E10">
  <tableColumns count="5">
    <tableColumn id="1" xr3:uid="{00000000-0010-0000-0600-000001000000}" name="Metric"/>
    <tableColumn id="2" xr3:uid="{00000000-0010-0000-0600-000002000000}" name="Value"/>
    <tableColumn id="3" xr3:uid="{00000000-0010-0000-0600-000003000000}" name="Pre-registered floor"/>
    <tableColumn id="4" xr3:uid="{00000000-0010-0000-0600-000004000000}" name="Status"/>
    <tableColumn id="5" xr3:uid="{00000000-0010-0000-0600-000005000000}" name="Interpretatio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onditionSummaryTable" displayName="ConditionSummaryTable" ref="A1:M9">
  <tableColumns count="13">
    <tableColumn id="1" xr3:uid="{00000000-0010-0000-0700-000001000000}" name="condition_code"/>
    <tableColumn id="2" xr3:uid="{00000000-0010-0000-0700-000002000000}" name="condition_name"/>
    <tableColumn id="3" xr3:uid="{00000000-0010-0000-0700-000003000000}" name="method_group"/>
    <tableColumn id="4" xr3:uid="{00000000-0010-0000-0700-000004000000}" name="n_generations"/>
    <tableColumn id="5" xr3:uid="{00000000-0010-0000-0700-000005000000}" name="paper_target_proxy"/>
    <tableColumn id="6" xr3:uid="{00000000-0010-0000-0700-000006000000}" name="synthetic_proxy_mean"/>
    <tableColumn id="7" xr3:uid="{00000000-0010-0000-0700-000007000000}" name="difference"/>
    <tableColumn id="8" xr3:uid="{00000000-0010-0000-0700-000008000000}" name="mean_addressee_honorificity"/>
    <tableColumn id="9" xr3:uid="{00000000-0010-0000-0700-000009000000}" name="mean_verb_agreement"/>
    <tableColumn id="10" xr3:uid="{00000000-0010-0000-0700-00000A000000}" name="mean_register_consistency"/>
    <tableColumn id="11" xr3:uid="{00000000-0010-0000-0700-00000B000000}" name="mean_context_appropriateness"/>
    <tableColumn id="12" xr3:uid="{00000000-0010-0000-0700-00000C000000}" name="mean_fluency"/>
    <tableColumn id="13" xr3:uid="{00000000-0010-0000-0700-00000D000000}" name="mean_content_preserv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abSelected="1" zoomScale="107" workbookViewId="0">
      <selection activeCell="I4" sqref="A4:XFD4"/>
    </sheetView>
  </sheetViews>
  <sheetFormatPr baseColWidth="10" defaultColWidth="8.83203125" defaultRowHeight="14"/>
  <cols>
    <col min="1" max="1" width="29" customWidth="1"/>
    <col min="2" max="2" width="18" customWidth="1"/>
    <col min="3" max="3" width="29" customWidth="1"/>
    <col min="4" max="4" width="18" customWidth="1"/>
  </cols>
  <sheetData>
    <row r="1" spans="1:8">
      <c r="A1" s="14" t="s">
        <v>0</v>
      </c>
      <c r="B1" s="14"/>
      <c r="C1" s="14"/>
      <c r="D1" s="14"/>
      <c r="E1" s="14"/>
      <c r="F1" s="14"/>
      <c r="G1" s="14"/>
      <c r="H1" s="14"/>
    </row>
    <row r="2" spans="1:8">
      <c r="A2" s="14"/>
      <c r="B2" s="14"/>
      <c r="C2" s="14"/>
      <c r="D2" s="14"/>
      <c r="E2" s="14"/>
      <c r="F2" s="14"/>
      <c r="G2" s="14"/>
      <c r="H2" s="14"/>
    </row>
    <row r="5" spans="1:8" ht="16">
      <c r="A5" s="3" t="s">
        <v>1</v>
      </c>
      <c r="B5" s="4">
        <v>192</v>
      </c>
      <c r="C5" s="3" t="s">
        <v>2</v>
      </c>
      <c r="D5" s="4">
        <v>8</v>
      </c>
    </row>
    <row r="6" spans="1:8" ht="16">
      <c r="A6" s="3" t="s">
        <v>3</v>
      </c>
      <c r="B6" s="4">
        <v>576</v>
      </c>
      <c r="C6" s="3" t="s">
        <v>4</v>
      </c>
      <c r="D6" s="4">
        <v>3</v>
      </c>
    </row>
    <row r="7" spans="1:8" ht="16">
      <c r="A7" s="3" t="s">
        <v>5</v>
      </c>
      <c r="B7" s="4" t="s">
        <v>6</v>
      </c>
      <c r="C7" s="3" t="s">
        <v>7</v>
      </c>
      <c r="D7" s="4">
        <v>6</v>
      </c>
    </row>
    <row r="8" spans="1:8" ht="16">
      <c r="A8" s="3" t="s">
        <v>8</v>
      </c>
      <c r="B8" s="4">
        <v>0.69357000000000002</v>
      </c>
      <c r="C8" s="3" t="s">
        <v>9</v>
      </c>
      <c r="D8" s="4">
        <v>0.68359499999999995</v>
      </c>
    </row>
    <row r="9" spans="1:8" ht="16">
      <c r="A9" s="3" t="s">
        <v>10</v>
      </c>
      <c r="B9" s="4">
        <v>2.464E-3</v>
      </c>
      <c r="C9" s="3" t="s">
        <v>11</v>
      </c>
      <c r="D9" s="4" t="s">
        <v>12</v>
      </c>
    </row>
    <row r="11" spans="1:8" ht="16">
      <c r="A11" s="7" t="s">
        <v>13</v>
      </c>
      <c r="B11" s="7" t="s">
        <v>14</v>
      </c>
      <c r="C11" s="7" t="s">
        <v>15</v>
      </c>
    </row>
    <row r="12" spans="1:8">
      <c r="A12" s="8" t="s">
        <v>16</v>
      </c>
      <c r="B12" s="9">
        <v>-0.1</v>
      </c>
      <c r="C12" s="9">
        <v>-9.8552000000000001E-2</v>
      </c>
    </row>
    <row r="13" spans="1:8">
      <c r="A13" s="8" t="s">
        <v>17</v>
      </c>
      <c r="B13" s="9">
        <v>-0.14099999999999999</v>
      </c>
      <c r="C13" s="9">
        <v>-0.14100299999999999</v>
      </c>
    </row>
    <row r="14" spans="1:8">
      <c r="A14" s="8" t="s">
        <v>18</v>
      </c>
      <c r="B14" s="9">
        <v>-0.13200000000000001</v>
      </c>
      <c r="C14" s="9">
        <v>-0.129884</v>
      </c>
    </row>
    <row r="15" spans="1:8">
      <c r="A15" s="8" t="s">
        <v>19</v>
      </c>
      <c r="B15" s="9">
        <v>-7.4999999999999997E-2</v>
      </c>
      <c r="C15" s="9">
        <v>-7.7464000000000005E-2</v>
      </c>
    </row>
    <row r="16" spans="1:8">
      <c r="A16" s="8" t="s">
        <v>20</v>
      </c>
      <c r="B16" s="9">
        <v>-1.9E-2</v>
      </c>
      <c r="C16" s="9">
        <v>-2.0076E-2</v>
      </c>
    </row>
    <row r="17" spans="1:3">
      <c r="A17" s="8" t="s">
        <v>21</v>
      </c>
      <c r="B17" s="9">
        <v>-6.0000000000000001E-3</v>
      </c>
      <c r="C17" s="9">
        <v>-5.8300000000000001E-3</v>
      </c>
    </row>
    <row r="18" spans="1:3">
      <c r="A18" s="8" t="s">
        <v>22</v>
      </c>
      <c r="B18" s="9">
        <v>-0.10199999999999999</v>
      </c>
      <c r="C18" s="9">
        <v>-0.102023</v>
      </c>
    </row>
    <row r="19" spans="1:3">
      <c r="A19" s="8" t="s">
        <v>23</v>
      </c>
      <c r="B19" s="9">
        <v>6.9000000000000006E-2</v>
      </c>
      <c r="C19" s="9">
        <v>6.7593E-2</v>
      </c>
    </row>
  </sheetData>
  <mergeCells count="1">
    <mergeCell ref="A1:H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sheetViews>
  <sheetFormatPr baseColWidth="10" defaultColWidth="8.83203125" defaultRowHeight="14"/>
  <cols>
    <col min="1" max="1" width="29" customWidth="1"/>
    <col min="2" max="2" width="58" customWidth="1"/>
    <col min="3" max="3" width="12" customWidth="1"/>
  </cols>
  <sheetData>
    <row r="1" spans="1:3" ht="16">
      <c r="A1" s="5" t="s">
        <v>24</v>
      </c>
      <c r="B1" s="5" t="s">
        <v>25</v>
      </c>
      <c r="C1" s="5" t="s">
        <v>26</v>
      </c>
    </row>
    <row r="2" spans="1:3" ht="15">
      <c r="A2" s="1" t="s">
        <v>27</v>
      </c>
      <c r="B2" s="1" t="s">
        <v>28</v>
      </c>
      <c r="C2" s="1" t="s">
        <v>6</v>
      </c>
    </row>
    <row r="3" spans="1:3" ht="15">
      <c r="A3" s="1" t="s">
        <v>29</v>
      </c>
      <c r="B3" s="1" t="s">
        <v>30</v>
      </c>
      <c r="C3" s="1" t="s">
        <v>6</v>
      </c>
    </row>
    <row r="4" spans="1:3" ht="15">
      <c r="A4" s="1" t="s">
        <v>31</v>
      </c>
      <c r="B4" s="1" t="s">
        <v>32</v>
      </c>
      <c r="C4" s="1" t="s">
        <v>6</v>
      </c>
    </row>
    <row r="5" spans="1:3" ht="15">
      <c r="A5" s="1" t="s">
        <v>33</v>
      </c>
      <c r="B5" s="1" t="s">
        <v>34</v>
      </c>
      <c r="C5" s="1" t="s">
        <v>6</v>
      </c>
    </row>
    <row r="6" spans="1:3" ht="15">
      <c r="A6" s="1" t="s">
        <v>35</v>
      </c>
      <c r="B6" s="1" t="s">
        <v>36</v>
      </c>
      <c r="C6" s="1" t="s">
        <v>6</v>
      </c>
    </row>
    <row r="7" spans="1:3" ht="15">
      <c r="A7" s="1" t="s">
        <v>37</v>
      </c>
      <c r="B7" s="1" t="s">
        <v>38</v>
      </c>
      <c r="C7" s="1" t="s">
        <v>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workbookViewId="0"/>
  </sheetViews>
  <sheetFormatPr baseColWidth="10" defaultColWidth="8.83203125" defaultRowHeight="14"/>
  <cols>
    <col min="1" max="1" width="17" customWidth="1"/>
    <col min="2" max="2" width="42" customWidth="1"/>
    <col min="3" max="3" width="24" customWidth="1"/>
    <col min="4" max="4" width="20" customWidth="1"/>
  </cols>
  <sheetData>
    <row r="1" spans="1:4" ht="16">
      <c r="A1" s="5" t="s">
        <v>39</v>
      </c>
      <c r="B1" s="5" t="s">
        <v>40</v>
      </c>
      <c r="C1" s="5" t="s">
        <v>41</v>
      </c>
      <c r="D1" s="5" t="s">
        <v>42</v>
      </c>
    </row>
    <row r="2" spans="1:4">
      <c r="A2" t="s">
        <v>16</v>
      </c>
      <c r="B2" t="s">
        <v>43</v>
      </c>
      <c r="C2" t="s">
        <v>44</v>
      </c>
      <c r="D2" s="6">
        <v>-0.1</v>
      </c>
    </row>
    <row r="3" spans="1:4">
      <c r="A3" t="s">
        <v>17</v>
      </c>
      <c r="B3" t="s">
        <v>45</v>
      </c>
      <c r="C3" t="s">
        <v>46</v>
      </c>
      <c r="D3" s="6">
        <v>-0.14099999999999999</v>
      </c>
    </row>
    <row r="4" spans="1:4">
      <c r="A4" t="s">
        <v>18</v>
      </c>
      <c r="B4" t="s">
        <v>47</v>
      </c>
      <c r="C4" t="s">
        <v>48</v>
      </c>
      <c r="D4" s="6">
        <v>-0.13200000000000001</v>
      </c>
    </row>
    <row r="5" spans="1:4">
      <c r="A5" t="s">
        <v>19</v>
      </c>
      <c r="B5" t="s">
        <v>49</v>
      </c>
      <c r="C5" t="s">
        <v>50</v>
      </c>
      <c r="D5" s="6">
        <v>-7.4999999999999997E-2</v>
      </c>
    </row>
    <row r="6" spans="1:4">
      <c r="A6" t="s">
        <v>20</v>
      </c>
      <c r="B6" t="s">
        <v>51</v>
      </c>
      <c r="C6" t="s">
        <v>50</v>
      </c>
      <c r="D6" s="6">
        <v>-1.9E-2</v>
      </c>
    </row>
    <row r="7" spans="1:4">
      <c r="A7" t="s">
        <v>21</v>
      </c>
      <c r="B7" t="s">
        <v>52</v>
      </c>
      <c r="C7" t="s">
        <v>50</v>
      </c>
      <c r="D7" s="6">
        <v>-6.0000000000000001E-3</v>
      </c>
    </row>
    <row r="8" spans="1:4">
      <c r="A8" t="s">
        <v>22</v>
      </c>
      <c r="B8" t="s">
        <v>53</v>
      </c>
      <c r="C8" t="s">
        <v>50</v>
      </c>
      <c r="D8" s="6">
        <v>-0.10199999999999999</v>
      </c>
    </row>
    <row r="9" spans="1:4">
      <c r="A9" t="s">
        <v>23</v>
      </c>
      <c r="B9" t="s">
        <v>54</v>
      </c>
      <c r="C9" t="s">
        <v>46</v>
      </c>
      <c r="D9" s="6">
        <v>6.9000000000000006E-2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4"/>
  <sheetViews>
    <sheetView workbookViewId="0">
      <selection activeCell="E5" sqref="E5:F5"/>
    </sheetView>
  </sheetViews>
  <sheetFormatPr baseColWidth="10" defaultColWidth="8.83203125" defaultRowHeight="14"/>
  <cols>
    <col min="1" max="1" width="20" customWidth="1"/>
    <col min="2" max="2" width="24" customWidth="1"/>
    <col min="3" max="3" width="48" customWidth="1"/>
    <col min="5" max="5" width="24" customWidth="1"/>
    <col min="6" max="6" width="62" customWidth="1"/>
  </cols>
  <sheetData>
    <row r="1" spans="1:6" ht="16">
      <c r="A1" s="5" t="s">
        <v>55</v>
      </c>
      <c r="B1" s="5" t="s">
        <v>56</v>
      </c>
      <c r="C1" s="5" t="s">
        <v>57</v>
      </c>
      <c r="E1" s="15" t="s">
        <v>58</v>
      </c>
      <c r="F1" s="15"/>
    </row>
    <row r="2" spans="1:6" ht="15">
      <c r="A2" s="1" t="s">
        <v>59</v>
      </c>
      <c r="B2" s="1" t="s">
        <v>60</v>
      </c>
      <c r="C2" s="1" t="s">
        <v>61</v>
      </c>
      <c r="E2" s="10" t="s">
        <v>62</v>
      </c>
      <c r="F2" t="s">
        <v>63</v>
      </c>
    </row>
    <row r="3" spans="1:6" ht="15">
      <c r="A3" s="1" t="s">
        <v>59</v>
      </c>
      <c r="B3" s="1" t="s">
        <v>64</v>
      </c>
      <c r="C3" s="1" t="s">
        <v>61</v>
      </c>
      <c r="E3" s="10" t="s">
        <v>65</v>
      </c>
      <c r="F3" t="s">
        <v>66</v>
      </c>
    </row>
    <row r="4" spans="1:6" ht="15">
      <c r="A4" s="1" t="s">
        <v>59</v>
      </c>
      <c r="B4" s="1" t="s">
        <v>67</v>
      </c>
      <c r="C4" s="1" t="s">
        <v>61</v>
      </c>
      <c r="E4" s="10" t="s">
        <v>68</v>
      </c>
      <c r="F4" t="s">
        <v>69</v>
      </c>
    </row>
    <row r="5" spans="1:6" ht="15">
      <c r="A5" s="1" t="s">
        <v>59</v>
      </c>
      <c r="B5" s="1" t="s">
        <v>70</v>
      </c>
      <c r="C5" s="1" t="s">
        <v>61</v>
      </c>
    </row>
    <row r="6" spans="1:6" ht="15">
      <c r="A6" s="1" t="s">
        <v>59</v>
      </c>
      <c r="B6" s="1" t="s">
        <v>71</v>
      </c>
      <c r="C6" s="1" t="s">
        <v>61</v>
      </c>
    </row>
    <row r="7" spans="1:6" ht="15">
      <c r="A7" s="1" t="s">
        <v>59</v>
      </c>
      <c r="B7" s="1" t="s">
        <v>72</v>
      </c>
      <c r="C7" s="1" t="s">
        <v>61</v>
      </c>
    </row>
    <row r="8" spans="1:6" ht="15">
      <c r="A8" s="1" t="s">
        <v>59</v>
      </c>
      <c r="B8" s="1" t="s">
        <v>73</v>
      </c>
      <c r="C8" s="1" t="s">
        <v>61</v>
      </c>
    </row>
    <row r="9" spans="1:6" ht="15">
      <c r="A9" s="1" t="s">
        <v>59</v>
      </c>
      <c r="B9" s="1" t="s">
        <v>74</v>
      </c>
      <c r="C9" s="1" t="s">
        <v>61</v>
      </c>
    </row>
    <row r="10" spans="1:6" ht="15">
      <c r="A10" s="1" t="s">
        <v>59</v>
      </c>
      <c r="B10" s="1" t="s">
        <v>75</v>
      </c>
      <c r="C10" s="1" t="s">
        <v>61</v>
      </c>
    </row>
    <row r="11" spans="1:6" ht="15">
      <c r="A11" s="1" t="s">
        <v>59</v>
      </c>
      <c r="B11" s="1" t="s">
        <v>76</v>
      </c>
      <c r="C11" s="1" t="s">
        <v>61</v>
      </c>
    </row>
    <row r="12" spans="1:6" ht="15">
      <c r="A12" s="1" t="s">
        <v>59</v>
      </c>
      <c r="B12" s="1" t="s">
        <v>77</v>
      </c>
      <c r="C12" s="1" t="s">
        <v>61</v>
      </c>
    </row>
    <row r="13" spans="1:6" ht="15">
      <c r="A13" s="1" t="s">
        <v>59</v>
      </c>
      <c r="B13" s="1" t="s">
        <v>78</v>
      </c>
      <c r="C13" s="1" t="s">
        <v>61</v>
      </c>
    </row>
    <row r="14" spans="1:6" ht="15">
      <c r="A14" s="1" t="s">
        <v>59</v>
      </c>
      <c r="B14" s="1" t="s">
        <v>79</v>
      </c>
      <c r="C14" s="1" t="s">
        <v>61</v>
      </c>
    </row>
    <row r="15" spans="1:6" ht="15">
      <c r="A15" s="1" t="s">
        <v>59</v>
      </c>
      <c r="B15" s="1" t="s">
        <v>80</v>
      </c>
      <c r="C15" s="1" t="s">
        <v>61</v>
      </c>
    </row>
    <row r="16" spans="1:6" ht="15">
      <c r="A16" s="1" t="s">
        <v>59</v>
      </c>
      <c r="B16" s="1" t="s">
        <v>81</v>
      </c>
      <c r="C16" s="1" t="s">
        <v>61</v>
      </c>
    </row>
    <row r="17" spans="1:3" ht="15">
      <c r="A17" s="1" t="s">
        <v>59</v>
      </c>
      <c r="B17" s="1" t="s">
        <v>82</v>
      </c>
      <c r="C17" s="1" t="s">
        <v>61</v>
      </c>
    </row>
    <row r="18" spans="1:3" ht="15">
      <c r="A18" s="1" t="s">
        <v>59</v>
      </c>
      <c r="B18" s="1" t="s">
        <v>83</v>
      </c>
      <c r="C18" s="1" t="s">
        <v>61</v>
      </c>
    </row>
    <row r="19" spans="1:3" ht="15">
      <c r="A19" s="1" t="s">
        <v>59</v>
      </c>
      <c r="B19" s="1" t="s">
        <v>84</v>
      </c>
      <c r="C19" s="1" t="s">
        <v>61</v>
      </c>
    </row>
    <row r="20" spans="1:3" ht="15">
      <c r="A20" s="1" t="s">
        <v>59</v>
      </c>
      <c r="B20" s="1" t="s">
        <v>85</v>
      </c>
      <c r="C20" s="1" t="s">
        <v>61</v>
      </c>
    </row>
    <row r="21" spans="1:3" ht="15">
      <c r="A21" s="1" t="s">
        <v>86</v>
      </c>
      <c r="B21" s="1" t="s">
        <v>87</v>
      </c>
      <c r="C21" s="1" t="s">
        <v>88</v>
      </c>
    </row>
    <row r="22" spans="1:3" ht="15">
      <c r="A22" s="1" t="s">
        <v>86</v>
      </c>
      <c r="B22" s="1" t="s">
        <v>89</v>
      </c>
      <c r="C22" s="1" t="s">
        <v>88</v>
      </c>
    </row>
    <row r="23" spans="1:3" ht="15">
      <c r="A23" s="1" t="s">
        <v>86</v>
      </c>
      <c r="B23" s="1" t="s">
        <v>90</v>
      </c>
      <c r="C23" s="1" t="s">
        <v>88</v>
      </c>
    </row>
    <row r="24" spans="1:3" ht="15">
      <c r="A24" s="1" t="s">
        <v>86</v>
      </c>
      <c r="B24" s="1" t="s">
        <v>91</v>
      </c>
      <c r="C24" s="1" t="s">
        <v>88</v>
      </c>
    </row>
    <row r="25" spans="1:3" ht="15">
      <c r="A25" s="1" t="s">
        <v>86</v>
      </c>
      <c r="B25" s="1" t="s">
        <v>92</v>
      </c>
      <c r="C25" s="1" t="s">
        <v>88</v>
      </c>
    </row>
    <row r="26" spans="1:3" ht="15">
      <c r="A26" s="1" t="s">
        <v>86</v>
      </c>
      <c r="B26" s="1" t="s">
        <v>93</v>
      </c>
      <c r="C26" s="1" t="s">
        <v>88</v>
      </c>
    </row>
    <row r="27" spans="1:3" ht="15">
      <c r="A27" s="1" t="s">
        <v>86</v>
      </c>
      <c r="B27" s="1" t="s">
        <v>94</v>
      </c>
      <c r="C27" s="1" t="s">
        <v>88</v>
      </c>
    </row>
    <row r="28" spans="1:3" ht="15">
      <c r="A28" s="1" t="s">
        <v>86</v>
      </c>
      <c r="B28" s="1" t="s">
        <v>95</v>
      </c>
      <c r="C28" s="1" t="s">
        <v>88</v>
      </c>
    </row>
    <row r="29" spans="1:3" ht="15">
      <c r="A29" s="1" t="s">
        <v>86</v>
      </c>
      <c r="B29" s="1" t="s">
        <v>96</v>
      </c>
      <c r="C29" s="1" t="s">
        <v>88</v>
      </c>
    </row>
    <row r="30" spans="1:3" ht="15">
      <c r="A30" s="1" t="s">
        <v>86</v>
      </c>
      <c r="B30" s="1" t="s">
        <v>97</v>
      </c>
      <c r="C30" s="1" t="s">
        <v>88</v>
      </c>
    </row>
    <row r="31" spans="1:3" ht="15">
      <c r="A31" s="1" t="s">
        <v>86</v>
      </c>
      <c r="B31" s="1" t="s">
        <v>98</v>
      </c>
      <c r="C31" s="1" t="s">
        <v>88</v>
      </c>
    </row>
    <row r="32" spans="1:3" ht="15">
      <c r="A32" s="1" t="s">
        <v>86</v>
      </c>
      <c r="B32" s="1" t="s">
        <v>99</v>
      </c>
      <c r="C32" s="1" t="s">
        <v>88</v>
      </c>
    </row>
    <row r="33" spans="1:3" ht="15">
      <c r="A33" s="1" t="s">
        <v>86</v>
      </c>
      <c r="B33" s="1" t="s">
        <v>100</v>
      </c>
      <c r="C33" s="1" t="s">
        <v>88</v>
      </c>
    </row>
    <row r="34" spans="1:3" ht="15">
      <c r="A34" s="1" t="s">
        <v>86</v>
      </c>
      <c r="B34" s="1" t="s">
        <v>101</v>
      </c>
      <c r="C34" s="1" t="s">
        <v>88</v>
      </c>
    </row>
    <row r="35" spans="1:3" ht="15">
      <c r="A35" s="1" t="s">
        <v>86</v>
      </c>
      <c r="B35" s="1" t="s">
        <v>102</v>
      </c>
      <c r="C35" s="1" t="s">
        <v>88</v>
      </c>
    </row>
    <row r="36" spans="1:3" ht="15">
      <c r="A36" s="1" t="s">
        <v>86</v>
      </c>
      <c r="B36" s="1" t="s">
        <v>103</v>
      </c>
      <c r="C36" s="1" t="s">
        <v>88</v>
      </c>
    </row>
    <row r="37" spans="1:3" ht="15">
      <c r="A37" s="1" t="s">
        <v>86</v>
      </c>
      <c r="B37" s="1" t="s">
        <v>104</v>
      </c>
      <c r="C37" s="1" t="s">
        <v>88</v>
      </c>
    </row>
    <row r="38" spans="1:3" ht="15">
      <c r="A38" s="1" t="s">
        <v>86</v>
      </c>
      <c r="B38" s="1" t="s">
        <v>105</v>
      </c>
      <c r="C38" s="1" t="s">
        <v>88</v>
      </c>
    </row>
    <row r="39" spans="1:3" ht="15">
      <c r="A39" s="1" t="s">
        <v>86</v>
      </c>
      <c r="B39" s="1" t="s">
        <v>106</v>
      </c>
      <c r="C39" s="1" t="s">
        <v>88</v>
      </c>
    </row>
    <row r="40" spans="1:3" ht="15">
      <c r="A40" s="1" t="s">
        <v>86</v>
      </c>
      <c r="B40" s="1" t="s">
        <v>107</v>
      </c>
      <c r="C40" s="1" t="s">
        <v>88</v>
      </c>
    </row>
    <row r="41" spans="1:3" ht="15">
      <c r="A41" s="1" t="s">
        <v>86</v>
      </c>
      <c r="B41" s="1" t="s">
        <v>108</v>
      </c>
      <c r="C41" s="1" t="s">
        <v>88</v>
      </c>
    </row>
    <row r="42" spans="1:3" ht="15">
      <c r="A42" s="1" t="s">
        <v>86</v>
      </c>
      <c r="B42" s="1" t="s">
        <v>109</v>
      </c>
      <c r="C42" s="1" t="s">
        <v>88</v>
      </c>
    </row>
    <row r="43" spans="1:3" ht="15">
      <c r="A43" s="1" t="s">
        <v>86</v>
      </c>
      <c r="B43" s="1" t="s">
        <v>110</v>
      </c>
      <c r="C43" s="1" t="s">
        <v>88</v>
      </c>
    </row>
    <row r="44" spans="1:3" ht="15">
      <c r="A44" s="1" t="s">
        <v>86</v>
      </c>
      <c r="B44" s="1" t="s">
        <v>111</v>
      </c>
      <c r="C44" s="1" t="s">
        <v>88</v>
      </c>
    </row>
    <row r="45" spans="1:3" ht="15">
      <c r="A45" s="1" t="s">
        <v>112</v>
      </c>
      <c r="B45" s="1" t="s">
        <v>113</v>
      </c>
      <c r="C45" s="1" t="s">
        <v>114</v>
      </c>
    </row>
    <row r="46" spans="1:3" ht="15">
      <c r="A46" s="1" t="s">
        <v>112</v>
      </c>
      <c r="B46" s="1" t="s">
        <v>115</v>
      </c>
      <c r="C46" s="1" t="s">
        <v>114</v>
      </c>
    </row>
    <row r="47" spans="1:3" ht="15">
      <c r="A47" s="1" t="s">
        <v>112</v>
      </c>
      <c r="B47" s="1" t="s">
        <v>116</v>
      </c>
      <c r="C47" s="1" t="s">
        <v>114</v>
      </c>
    </row>
    <row r="48" spans="1:3" ht="15">
      <c r="A48" s="1" t="s">
        <v>112</v>
      </c>
      <c r="B48" s="1" t="s">
        <v>117</v>
      </c>
      <c r="C48" s="1" t="s">
        <v>114</v>
      </c>
    </row>
    <row r="49" spans="1:3" ht="15">
      <c r="A49" s="1" t="s">
        <v>112</v>
      </c>
      <c r="B49" s="1" t="s">
        <v>118</v>
      </c>
      <c r="C49" s="1" t="s">
        <v>114</v>
      </c>
    </row>
    <row r="50" spans="1:3" ht="15">
      <c r="A50" s="1" t="s">
        <v>112</v>
      </c>
      <c r="B50" s="1" t="s">
        <v>119</v>
      </c>
      <c r="C50" s="1" t="s">
        <v>114</v>
      </c>
    </row>
    <row r="51" spans="1:3" ht="15">
      <c r="A51" s="1" t="s">
        <v>112</v>
      </c>
      <c r="B51" s="1" t="s">
        <v>120</v>
      </c>
      <c r="C51" s="1" t="s">
        <v>114</v>
      </c>
    </row>
    <row r="52" spans="1:3" ht="15">
      <c r="A52" s="1" t="s">
        <v>112</v>
      </c>
      <c r="B52" s="1" t="s">
        <v>121</v>
      </c>
      <c r="C52" s="1" t="s">
        <v>114</v>
      </c>
    </row>
    <row r="53" spans="1:3" ht="15">
      <c r="A53" s="1" t="s">
        <v>112</v>
      </c>
      <c r="B53" s="1" t="s">
        <v>122</v>
      </c>
      <c r="C53" s="1" t="s">
        <v>114</v>
      </c>
    </row>
    <row r="54" spans="1:3" ht="15">
      <c r="A54" s="1" t="s">
        <v>112</v>
      </c>
      <c r="B54" s="1" t="s">
        <v>123</v>
      </c>
      <c r="C54" s="1" t="s">
        <v>114</v>
      </c>
    </row>
  </sheetData>
  <mergeCells count="1">
    <mergeCell ref="E1:F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93"/>
  <sheetViews>
    <sheetView workbookViewId="0">
      <selection sqref="A1:A1048576"/>
    </sheetView>
  </sheetViews>
  <sheetFormatPr baseColWidth="10" defaultColWidth="8.83203125" defaultRowHeight="14"/>
  <cols>
    <col min="1" max="3" width="16" customWidth="1"/>
    <col min="4" max="4" width="38" customWidth="1"/>
    <col min="5" max="6" width="22" customWidth="1"/>
    <col min="7" max="7" width="39" customWidth="1"/>
    <col min="8" max="8" width="46" customWidth="1"/>
    <col min="9" max="9" width="74" customWidth="1"/>
    <col min="10" max="10" width="16" customWidth="1"/>
    <col min="11" max="13" width="13" customWidth="1"/>
    <col min="14" max="17" width="22" customWidth="1"/>
  </cols>
  <sheetData>
    <row r="1" spans="1:17" ht="32">
      <c r="A1" s="5" t="s">
        <v>124</v>
      </c>
      <c r="B1" s="5" t="s">
        <v>125</v>
      </c>
      <c r="C1" s="5" t="s">
        <v>126</v>
      </c>
      <c r="D1" s="5" t="s">
        <v>127</v>
      </c>
      <c r="E1" s="5" t="s">
        <v>128</v>
      </c>
      <c r="F1" s="5" t="s">
        <v>129</v>
      </c>
      <c r="G1" s="5" t="s">
        <v>130</v>
      </c>
      <c r="H1" s="5" t="s">
        <v>131</v>
      </c>
      <c r="I1" s="5" t="s">
        <v>132</v>
      </c>
      <c r="J1" s="5" t="s">
        <v>133</v>
      </c>
      <c r="K1" s="5" t="s">
        <v>134</v>
      </c>
      <c r="L1" s="5" t="s">
        <v>135</v>
      </c>
      <c r="M1" s="5" t="s">
        <v>136</v>
      </c>
      <c r="N1" s="5" t="s">
        <v>137</v>
      </c>
      <c r="O1" s="5" t="s">
        <v>138</v>
      </c>
      <c r="P1" s="5" t="s">
        <v>139</v>
      </c>
      <c r="Q1" s="5" t="s">
        <v>140</v>
      </c>
    </row>
    <row r="2" spans="1:17" ht="45">
      <c r="A2" t="s">
        <v>141</v>
      </c>
      <c r="B2" t="s">
        <v>142</v>
      </c>
      <c r="C2" t="s">
        <v>16</v>
      </c>
      <c r="D2" t="s">
        <v>43</v>
      </c>
      <c r="E2" t="s">
        <v>44</v>
      </c>
      <c r="F2" t="s">
        <v>143</v>
      </c>
      <c r="G2" s="1" t="s">
        <v>144</v>
      </c>
      <c r="H2" s="1" t="s">
        <v>145</v>
      </c>
      <c r="I2" s="1" t="s">
        <v>146</v>
      </c>
      <c r="J2" t="s">
        <v>147</v>
      </c>
      <c r="K2">
        <v>32</v>
      </c>
      <c r="L2">
        <v>0</v>
      </c>
      <c r="M2">
        <v>3</v>
      </c>
      <c r="N2" s="11">
        <v>-9.375E-2</v>
      </c>
      <c r="O2" s="11">
        <v>-0.1</v>
      </c>
      <c r="P2">
        <v>20260719</v>
      </c>
      <c r="Q2">
        <v>46222.653275462966</v>
      </c>
    </row>
    <row r="3" spans="1:17" ht="45">
      <c r="A3" t="s">
        <v>148</v>
      </c>
      <c r="B3" t="s">
        <v>149</v>
      </c>
      <c r="C3" t="s">
        <v>16</v>
      </c>
      <c r="D3" t="s">
        <v>43</v>
      </c>
      <c r="E3" t="s">
        <v>44</v>
      </c>
      <c r="F3" t="s">
        <v>143</v>
      </c>
      <c r="G3" s="1" t="s">
        <v>150</v>
      </c>
      <c r="H3" s="1" t="s">
        <v>151</v>
      </c>
      <c r="I3" s="1" t="s">
        <v>152</v>
      </c>
      <c r="J3" t="s">
        <v>147</v>
      </c>
      <c r="K3">
        <v>32</v>
      </c>
      <c r="L3">
        <v>0</v>
      </c>
      <c r="M3">
        <v>3</v>
      </c>
      <c r="N3" s="11">
        <v>-9.375E-2</v>
      </c>
      <c r="O3" s="11">
        <v>-0.1</v>
      </c>
      <c r="P3">
        <v>20260719</v>
      </c>
      <c r="Q3">
        <v>46222.653275462966</v>
      </c>
    </row>
    <row r="4" spans="1:17" ht="45">
      <c r="A4" t="s">
        <v>153</v>
      </c>
      <c r="B4" t="s">
        <v>154</v>
      </c>
      <c r="C4" t="s">
        <v>16</v>
      </c>
      <c r="D4" t="s">
        <v>43</v>
      </c>
      <c r="E4" t="s">
        <v>44</v>
      </c>
      <c r="F4" t="s">
        <v>143</v>
      </c>
      <c r="G4" s="1" t="s">
        <v>155</v>
      </c>
      <c r="H4" s="1" t="s">
        <v>156</v>
      </c>
      <c r="I4" s="1" t="s">
        <v>157</v>
      </c>
      <c r="J4" t="s">
        <v>158</v>
      </c>
      <c r="K4">
        <v>33</v>
      </c>
      <c r="L4">
        <v>0</v>
      </c>
      <c r="M4">
        <v>4</v>
      </c>
      <c r="N4" s="11">
        <v>-0.121212</v>
      </c>
      <c r="O4" s="11">
        <v>-0.1</v>
      </c>
      <c r="P4">
        <v>20260719</v>
      </c>
      <c r="Q4">
        <v>46222.653275462966</v>
      </c>
    </row>
    <row r="5" spans="1:17" ht="45">
      <c r="A5" t="s">
        <v>159</v>
      </c>
      <c r="B5" t="s">
        <v>160</v>
      </c>
      <c r="C5" t="s">
        <v>16</v>
      </c>
      <c r="D5" t="s">
        <v>43</v>
      </c>
      <c r="E5" t="s">
        <v>44</v>
      </c>
      <c r="F5" t="s">
        <v>143</v>
      </c>
      <c r="G5" s="1" t="s">
        <v>161</v>
      </c>
      <c r="H5" s="1" t="s">
        <v>162</v>
      </c>
      <c r="I5" s="1" t="s">
        <v>163</v>
      </c>
      <c r="J5" t="s">
        <v>147</v>
      </c>
      <c r="K5">
        <v>31</v>
      </c>
      <c r="L5">
        <v>0</v>
      </c>
      <c r="M5">
        <v>3</v>
      </c>
      <c r="N5" s="11">
        <v>-9.6773999999999999E-2</v>
      </c>
      <c r="O5" s="11">
        <v>-0.1</v>
      </c>
      <c r="P5">
        <v>20260719</v>
      </c>
      <c r="Q5">
        <v>46222.653275462966</v>
      </c>
    </row>
    <row r="6" spans="1:17" ht="45">
      <c r="A6" t="s">
        <v>164</v>
      </c>
      <c r="B6" t="s">
        <v>165</v>
      </c>
      <c r="C6" t="s">
        <v>16</v>
      </c>
      <c r="D6" t="s">
        <v>43</v>
      </c>
      <c r="E6" t="s">
        <v>44</v>
      </c>
      <c r="F6" t="s">
        <v>166</v>
      </c>
      <c r="G6" s="1" t="s">
        <v>167</v>
      </c>
      <c r="H6" s="1" t="s">
        <v>168</v>
      </c>
      <c r="I6" s="1" t="s">
        <v>169</v>
      </c>
      <c r="J6" t="s">
        <v>147</v>
      </c>
      <c r="K6">
        <v>33</v>
      </c>
      <c r="L6">
        <v>0</v>
      </c>
      <c r="M6">
        <v>3</v>
      </c>
      <c r="N6" s="11">
        <v>-9.0909000000000004E-2</v>
      </c>
      <c r="O6" s="11">
        <v>-0.1</v>
      </c>
      <c r="P6">
        <v>20260719</v>
      </c>
      <c r="Q6">
        <v>46222.653275462966</v>
      </c>
    </row>
    <row r="7" spans="1:17" ht="45">
      <c r="A7" t="s">
        <v>170</v>
      </c>
      <c r="B7" t="s">
        <v>171</v>
      </c>
      <c r="C7" t="s">
        <v>16</v>
      </c>
      <c r="D7" t="s">
        <v>43</v>
      </c>
      <c r="E7" t="s">
        <v>44</v>
      </c>
      <c r="F7" t="s">
        <v>166</v>
      </c>
      <c r="G7" s="1" t="s">
        <v>172</v>
      </c>
      <c r="H7" s="1" t="s">
        <v>173</v>
      </c>
      <c r="I7" s="1" t="s">
        <v>174</v>
      </c>
      <c r="J7" t="s">
        <v>147</v>
      </c>
      <c r="K7">
        <v>32</v>
      </c>
      <c r="L7">
        <v>0</v>
      </c>
      <c r="M7">
        <v>3</v>
      </c>
      <c r="N7" s="11">
        <v>-9.375E-2</v>
      </c>
      <c r="O7" s="11">
        <v>-0.1</v>
      </c>
      <c r="P7">
        <v>20260719</v>
      </c>
      <c r="Q7">
        <v>46222.653275462966</v>
      </c>
    </row>
    <row r="8" spans="1:17" ht="45">
      <c r="A8" t="s">
        <v>175</v>
      </c>
      <c r="B8" t="s">
        <v>176</v>
      </c>
      <c r="C8" t="s">
        <v>16</v>
      </c>
      <c r="D8" t="s">
        <v>43</v>
      </c>
      <c r="E8" t="s">
        <v>44</v>
      </c>
      <c r="F8" t="s">
        <v>166</v>
      </c>
      <c r="G8" s="1" t="s">
        <v>177</v>
      </c>
      <c r="H8" s="1" t="s">
        <v>178</v>
      </c>
      <c r="I8" s="1" t="s">
        <v>179</v>
      </c>
      <c r="J8" t="s">
        <v>147</v>
      </c>
      <c r="K8">
        <v>31</v>
      </c>
      <c r="L8">
        <v>0</v>
      </c>
      <c r="M8">
        <v>2</v>
      </c>
      <c r="N8" s="11">
        <v>-6.4516000000000004E-2</v>
      </c>
      <c r="O8" s="11">
        <v>-0.1</v>
      </c>
      <c r="P8">
        <v>20260719</v>
      </c>
      <c r="Q8">
        <v>46222.653275462966</v>
      </c>
    </row>
    <row r="9" spans="1:17" ht="45">
      <c r="A9" t="s">
        <v>180</v>
      </c>
      <c r="B9" t="s">
        <v>181</v>
      </c>
      <c r="C9" t="s">
        <v>16</v>
      </c>
      <c r="D9" t="s">
        <v>43</v>
      </c>
      <c r="E9" t="s">
        <v>44</v>
      </c>
      <c r="F9" t="s">
        <v>166</v>
      </c>
      <c r="G9" s="1" t="s">
        <v>182</v>
      </c>
      <c r="H9" s="1" t="s">
        <v>183</v>
      </c>
      <c r="I9" s="1" t="s">
        <v>184</v>
      </c>
      <c r="J9" t="s">
        <v>158</v>
      </c>
      <c r="K9">
        <v>32</v>
      </c>
      <c r="L9">
        <v>0</v>
      </c>
      <c r="M9">
        <v>4</v>
      </c>
      <c r="N9" s="11">
        <v>-0.125</v>
      </c>
      <c r="O9" s="11">
        <v>-0.1</v>
      </c>
      <c r="P9">
        <v>20260719</v>
      </c>
      <c r="Q9">
        <v>46222.653275462966</v>
      </c>
    </row>
    <row r="10" spans="1:17" ht="30">
      <c r="A10" t="s">
        <v>185</v>
      </c>
      <c r="B10" t="s">
        <v>186</v>
      </c>
      <c r="C10" t="s">
        <v>16</v>
      </c>
      <c r="D10" t="s">
        <v>43</v>
      </c>
      <c r="E10" t="s">
        <v>44</v>
      </c>
      <c r="F10" t="s">
        <v>187</v>
      </c>
      <c r="G10" s="1" t="s">
        <v>188</v>
      </c>
      <c r="H10" s="1" t="s">
        <v>189</v>
      </c>
      <c r="I10" s="1" t="s">
        <v>190</v>
      </c>
      <c r="J10" t="s">
        <v>147</v>
      </c>
      <c r="K10">
        <v>35</v>
      </c>
      <c r="L10">
        <v>0</v>
      </c>
      <c r="M10">
        <v>3</v>
      </c>
      <c r="N10" s="11">
        <v>-8.5713999999999999E-2</v>
      </c>
      <c r="O10" s="11">
        <v>-0.1</v>
      </c>
      <c r="P10">
        <v>20260719</v>
      </c>
      <c r="Q10">
        <v>46222.653275462966</v>
      </c>
    </row>
    <row r="11" spans="1:17" ht="30">
      <c r="A11" t="s">
        <v>191</v>
      </c>
      <c r="B11" t="s">
        <v>192</v>
      </c>
      <c r="C11" t="s">
        <v>16</v>
      </c>
      <c r="D11" t="s">
        <v>43</v>
      </c>
      <c r="E11" t="s">
        <v>44</v>
      </c>
      <c r="F11" t="s">
        <v>187</v>
      </c>
      <c r="G11" s="1" t="s">
        <v>193</v>
      </c>
      <c r="H11" s="1" t="s">
        <v>194</v>
      </c>
      <c r="I11" s="1" t="s">
        <v>195</v>
      </c>
      <c r="J11" t="s">
        <v>147</v>
      </c>
      <c r="K11">
        <v>27</v>
      </c>
      <c r="L11">
        <v>0</v>
      </c>
      <c r="M11">
        <v>3</v>
      </c>
      <c r="N11" s="11">
        <v>-0.111111</v>
      </c>
      <c r="O11" s="11">
        <v>-0.1</v>
      </c>
      <c r="P11">
        <v>20260719</v>
      </c>
      <c r="Q11">
        <v>46222.653275462966</v>
      </c>
    </row>
    <row r="12" spans="1:17" ht="45">
      <c r="A12" t="s">
        <v>196</v>
      </c>
      <c r="B12" t="s">
        <v>197</v>
      </c>
      <c r="C12" t="s">
        <v>16</v>
      </c>
      <c r="D12" t="s">
        <v>43</v>
      </c>
      <c r="E12" t="s">
        <v>44</v>
      </c>
      <c r="F12" t="s">
        <v>187</v>
      </c>
      <c r="G12" s="1" t="s">
        <v>198</v>
      </c>
      <c r="H12" s="1" t="s">
        <v>199</v>
      </c>
      <c r="I12" s="1" t="s">
        <v>200</v>
      </c>
      <c r="J12" t="s">
        <v>147</v>
      </c>
      <c r="K12">
        <v>34</v>
      </c>
      <c r="L12">
        <v>0</v>
      </c>
      <c r="M12">
        <v>3</v>
      </c>
      <c r="N12" s="11">
        <v>-8.8234999999999994E-2</v>
      </c>
      <c r="O12" s="11">
        <v>-0.1</v>
      </c>
      <c r="P12">
        <v>20260719</v>
      </c>
      <c r="Q12">
        <v>46222.653275462966</v>
      </c>
    </row>
    <row r="13" spans="1:17" ht="45">
      <c r="A13" t="s">
        <v>201</v>
      </c>
      <c r="B13" t="s">
        <v>202</v>
      </c>
      <c r="C13" t="s">
        <v>16</v>
      </c>
      <c r="D13" t="s">
        <v>43</v>
      </c>
      <c r="E13" t="s">
        <v>44</v>
      </c>
      <c r="F13" t="s">
        <v>187</v>
      </c>
      <c r="G13" s="1" t="s">
        <v>203</v>
      </c>
      <c r="H13" s="1" t="s">
        <v>204</v>
      </c>
      <c r="I13" s="1" t="s">
        <v>205</v>
      </c>
      <c r="J13" t="s">
        <v>147</v>
      </c>
      <c r="K13">
        <v>32</v>
      </c>
      <c r="L13">
        <v>0</v>
      </c>
      <c r="M13">
        <v>3</v>
      </c>
      <c r="N13" s="11">
        <v>-9.375E-2</v>
      </c>
      <c r="O13" s="11">
        <v>-0.1</v>
      </c>
      <c r="P13">
        <v>20260719</v>
      </c>
      <c r="Q13">
        <v>46222.653275462966</v>
      </c>
    </row>
    <row r="14" spans="1:17" ht="45">
      <c r="A14" t="s">
        <v>206</v>
      </c>
      <c r="B14" t="s">
        <v>207</v>
      </c>
      <c r="C14" t="s">
        <v>16</v>
      </c>
      <c r="D14" t="s">
        <v>43</v>
      </c>
      <c r="E14" t="s">
        <v>44</v>
      </c>
      <c r="F14" t="s">
        <v>208</v>
      </c>
      <c r="G14" s="1" t="s">
        <v>209</v>
      </c>
      <c r="H14" s="1" t="s">
        <v>210</v>
      </c>
      <c r="I14" s="1" t="s">
        <v>211</v>
      </c>
      <c r="J14" t="s">
        <v>147</v>
      </c>
      <c r="K14">
        <v>33</v>
      </c>
      <c r="L14">
        <v>0</v>
      </c>
      <c r="M14">
        <v>3</v>
      </c>
      <c r="N14" s="11">
        <v>-9.0909000000000004E-2</v>
      </c>
      <c r="O14" s="11">
        <v>-0.1</v>
      </c>
      <c r="P14">
        <v>20260719</v>
      </c>
      <c r="Q14">
        <v>46222.653275462966</v>
      </c>
    </row>
    <row r="15" spans="1:17" ht="45">
      <c r="A15" t="s">
        <v>212</v>
      </c>
      <c r="B15" t="s">
        <v>213</v>
      </c>
      <c r="C15" t="s">
        <v>16</v>
      </c>
      <c r="D15" t="s">
        <v>43</v>
      </c>
      <c r="E15" t="s">
        <v>44</v>
      </c>
      <c r="F15" t="s">
        <v>208</v>
      </c>
      <c r="G15" s="1" t="s">
        <v>214</v>
      </c>
      <c r="H15" s="1" t="s">
        <v>215</v>
      </c>
      <c r="I15" s="1" t="s">
        <v>216</v>
      </c>
      <c r="J15" t="s">
        <v>158</v>
      </c>
      <c r="K15">
        <v>33</v>
      </c>
      <c r="L15">
        <v>0</v>
      </c>
      <c r="M15">
        <v>4</v>
      </c>
      <c r="N15" s="11">
        <v>-0.121212</v>
      </c>
      <c r="O15" s="11">
        <v>-0.1</v>
      </c>
      <c r="P15">
        <v>20260719</v>
      </c>
      <c r="Q15">
        <v>46222.653275462966</v>
      </c>
    </row>
    <row r="16" spans="1:17" ht="30">
      <c r="A16" t="s">
        <v>217</v>
      </c>
      <c r="B16" t="s">
        <v>218</v>
      </c>
      <c r="C16" t="s">
        <v>16</v>
      </c>
      <c r="D16" t="s">
        <v>43</v>
      </c>
      <c r="E16" t="s">
        <v>44</v>
      </c>
      <c r="F16" t="s">
        <v>208</v>
      </c>
      <c r="G16" s="1" t="s">
        <v>219</v>
      </c>
      <c r="H16" s="1" t="s">
        <v>220</v>
      </c>
      <c r="I16" s="1" t="s">
        <v>221</v>
      </c>
      <c r="J16" t="s">
        <v>147</v>
      </c>
      <c r="K16">
        <v>30</v>
      </c>
      <c r="L16">
        <v>0</v>
      </c>
      <c r="M16">
        <v>3</v>
      </c>
      <c r="N16" s="11">
        <v>-0.1</v>
      </c>
      <c r="O16" s="11">
        <v>-0.1</v>
      </c>
      <c r="P16">
        <v>20260719</v>
      </c>
      <c r="Q16">
        <v>46222.653275462966</v>
      </c>
    </row>
    <row r="17" spans="1:17" ht="30">
      <c r="A17" t="s">
        <v>222</v>
      </c>
      <c r="B17" t="s">
        <v>223</v>
      </c>
      <c r="C17" t="s">
        <v>16</v>
      </c>
      <c r="D17" t="s">
        <v>43</v>
      </c>
      <c r="E17" t="s">
        <v>44</v>
      </c>
      <c r="F17" t="s">
        <v>208</v>
      </c>
      <c r="G17" s="1" t="s">
        <v>224</v>
      </c>
      <c r="H17" s="1" t="s">
        <v>225</v>
      </c>
      <c r="I17" s="1" t="s">
        <v>226</v>
      </c>
      <c r="J17" t="s">
        <v>147</v>
      </c>
      <c r="K17">
        <v>32</v>
      </c>
      <c r="L17">
        <v>0</v>
      </c>
      <c r="M17">
        <v>3</v>
      </c>
      <c r="N17" s="11">
        <v>-9.375E-2</v>
      </c>
      <c r="O17" s="11">
        <v>-0.1</v>
      </c>
      <c r="P17">
        <v>20260719</v>
      </c>
      <c r="Q17">
        <v>46222.653275462966</v>
      </c>
    </row>
    <row r="18" spans="1:17" ht="30">
      <c r="A18" t="s">
        <v>227</v>
      </c>
      <c r="B18" t="s">
        <v>228</v>
      </c>
      <c r="C18" t="s">
        <v>16</v>
      </c>
      <c r="D18" t="s">
        <v>43</v>
      </c>
      <c r="E18" t="s">
        <v>44</v>
      </c>
      <c r="F18" t="s">
        <v>229</v>
      </c>
      <c r="G18" s="1" t="s">
        <v>230</v>
      </c>
      <c r="H18" s="1" t="s">
        <v>231</v>
      </c>
      <c r="I18" s="1" t="s">
        <v>232</v>
      </c>
      <c r="J18" t="s">
        <v>147</v>
      </c>
      <c r="K18">
        <v>29</v>
      </c>
      <c r="L18">
        <v>0</v>
      </c>
      <c r="M18">
        <v>3</v>
      </c>
      <c r="N18" s="11">
        <v>-0.103448</v>
      </c>
      <c r="O18" s="11">
        <v>-0.1</v>
      </c>
      <c r="P18">
        <v>20260719</v>
      </c>
      <c r="Q18">
        <v>46222.653275462966</v>
      </c>
    </row>
    <row r="19" spans="1:17" ht="45">
      <c r="A19" t="s">
        <v>233</v>
      </c>
      <c r="B19" t="s">
        <v>234</v>
      </c>
      <c r="C19" t="s">
        <v>16</v>
      </c>
      <c r="D19" t="s">
        <v>43</v>
      </c>
      <c r="E19" t="s">
        <v>44</v>
      </c>
      <c r="F19" t="s">
        <v>229</v>
      </c>
      <c r="G19" s="1" t="s">
        <v>235</v>
      </c>
      <c r="H19" s="1" t="s">
        <v>236</v>
      </c>
      <c r="I19" s="1" t="s">
        <v>237</v>
      </c>
      <c r="J19" t="s">
        <v>147</v>
      </c>
      <c r="K19">
        <v>35</v>
      </c>
      <c r="L19">
        <v>0</v>
      </c>
      <c r="M19">
        <v>3</v>
      </c>
      <c r="N19" s="11">
        <v>-8.5713999999999999E-2</v>
      </c>
      <c r="O19" s="11">
        <v>-0.1</v>
      </c>
      <c r="P19">
        <v>20260719</v>
      </c>
      <c r="Q19">
        <v>46222.653275462966</v>
      </c>
    </row>
    <row r="20" spans="1:17" ht="30">
      <c r="A20" t="s">
        <v>238</v>
      </c>
      <c r="B20" t="s">
        <v>239</v>
      </c>
      <c r="C20" t="s">
        <v>16</v>
      </c>
      <c r="D20" t="s">
        <v>43</v>
      </c>
      <c r="E20" t="s">
        <v>44</v>
      </c>
      <c r="F20" t="s">
        <v>229</v>
      </c>
      <c r="G20" s="1" t="s">
        <v>240</v>
      </c>
      <c r="H20" s="1" t="s">
        <v>241</v>
      </c>
      <c r="I20" s="1" t="s">
        <v>242</v>
      </c>
      <c r="J20" t="s">
        <v>147</v>
      </c>
      <c r="K20">
        <v>32</v>
      </c>
      <c r="L20">
        <v>0</v>
      </c>
      <c r="M20">
        <v>3</v>
      </c>
      <c r="N20" s="11">
        <v>-9.375E-2</v>
      </c>
      <c r="O20" s="11">
        <v>-0.1</v>
      </c>
      <c r="P20">
        <v>20260719</v>
      </c>
      <c r="Q20">
        <v>46222.653275462966</v>
      </c>
    </row>
    <row r="21" spans="1:17" ht="30">
      <c r="A21" t="s">
        <v>243</v>
      </c>
      <c r="B21" t="s">
        <v>244</v>
      </c>
      <c r="C21" t="s">
        <v>16</v>
      </c>
      <c r="D21" t="s">
        <v>43</v>
      </c>
      <c r="E21" t="s">
        <v>44</v>
      </c>
      <c r="F21" t="s">
        <v>229</v>
      </c>
      <c r="G21" s="1" t="s">
        <v>245</v>
      </c>
      <c r="H21" s="1" t="s">
        <v>246</v>
      </c>
      <c r="I21" s="1" t="s">
        <v>247</v>
      </c>
      <c r="J21" t="s">
        <v>147</v>
      </c>
      <c r="K21">
        <v>30</v>
      </c>
      <c r="L21">
        <v>0</v>
      </c>
      <c r="M21">
        <v>3</v>
      </c>
      <c r="N21" s="11">
        <v>-0.1</v>
      </c>
      <c r="O21" s="11">
        <v>-0.1</v>
      </c>
      <c r="P21">
        <v>20260719</v>
      </c>
      <c r="Q21">
        <v>46222.653275462966</v>
      </c>
    </row>
    <row r="22" spans="1:17" ht="45">
      <c r="A22" t="s">
        <v>248</v>
      </c>
      <c r="B22" t="s">
        <v>249</v>
      </c>
      <c r="C22" t="s">
        <v>16</v>
      </c>
      <c r="D22" t="s">
        <v>43</v>
      </c>
      <c r="E22" t="s">
        <v>44</v>
      </c>
      <c r="F22" t="s">
        <v>250</v>
      </c>
      <c r="G22" s="1" t="s">
        <v>251</v>
      </c>
      <c r="H22" s="1" t="s">
        <v>252</v>
      </c>
      <c r="I22" s="1" t="s">
        <v>253</v>
      </c>
      <c r="J22" t="s">
        <v>158</v>
      </c>
      <c r="K22">
        <v>31</v>
      </c>
      <c r="L22">
        <v>0</v>
      </c>
      <c r="M22">
        <v>4</v>
      </c>
      <c r="N22" s="11">
        <v>-0.12903200000000001</v>
      </c>
      <c r="O22" s="11">
        <v>-0.1</v>
      </c>
      <c r="P22">
        <v>20260719</v>
      </c>
      <c r="Q22">
        <v>46222.653275462966</v>
      </c>
    </row>
    <row r="23" spans="1:17" ht="45">
      <c r="A23" t="s">
        <v>254</v>
      </c>
      <c r="B23" t="s">
        <v>255</v>
      </c>
      <c r="C23" t="s">
        <v>16</v>
      </c>
      <c r="D23" t="s">
        <v>43</v>
      </c>
      <c r="E23" t="s">
        <v>44</v>
      </c>
      <c r="F23" t="s">
        <v>250</v>
      </c>
      <c r="G23" s="1" t="s">
        <v>256</v>
      </c>
      <c r="H23" s="1" t="s">
        <v>257</v>
      </c>
      <c r="I23" s="1" t="s">
        <v>258</v>
      </c>
      <c r="J23" t="s">
        <v>147</v>
      </c>
      <c r="K23">
        <v>33</v>
      </c>
      <c r="L23">
        <v>0</v>
      </c>
      <c r="M23">
        <v>3</v>
      </c>
      <c r="N23" s="11">
        <v>-9.0909000000000004E-2</v>
      </c>
      <c r="O23" s="11">
        <v>-0.1</v>
      </c>
      <c r="P23">
        <v>20260719</v>
      </c>
      <c r="Q23">
        <v>46222.653275462966</v>
      </c>
    </row>
    <row r="24" spans="1:17" ht="30">
      <c r="A24" t="s">
        <v>259</v>
      </c>
      <c r="B24" t="s">
        <v>260</v>
      </c>
      <c r="C24" t="s">
        <v>16</v>
      </c>
      <c r="D24" t="s">
        <v>43</v>
      </c>
      <c r="E24" t="s">
        <v>44</v>
      </c>
      <c r="F24" t="s">
        <v>250</v>
      </c>
      <c r="G24" s="1" t="s">
        <v>261</v>
      </c>
      <c r="H24" s="1" t="s">
        <v>262</v>
      </c>
      <c r="I24" s="1" t="s">
        <v>263</v>
      </c>
      <c r="J24" t="s">
        <v>147</v>
      </c>
      <c r="K24">
        <v>28</v>
      </c>
      <c r="L24">
        <v>0</v>
      </c>
      <c r="M24">
        <v>3</v>
      </c>
      <c r="N24" s="11">
        <v>-0.107143</v>
      </c>
      <c r="O24" s="11">
        <v>-0.1</v>
      </c>
      <c r="P24">
        <v>20260719</v>
      </c>
      <c r="Q24">
        <v>46222.653275462966</v>
      </c>
    </row>
    <row r="25" spans="1:17" ht="45">
      <c r="A25" t="s">
        <v>264</v>
      </c>
      <c r="B25" t="s">
        <v>265</v>
      </c>
      <c r="C25" t="s">
        <v>16</v>
      </c>
      <c r="D25" t="s">
        <v>43</v>
      </c>
      <c r="E25" t="s">
        <v>44</v>
      </c>
      <c r="F25" t="s">
        <v>250</v>
      </c>
      <c r="G25" s="1" t="s">
        <v>266</v>
      </c>
      <c r="H25" s="1" t="s">
        <v>267</v>
      </c>
      <c r="I25" s="1" t="s">
        <v>268</v>
      </c>
      <c r="J25" t="s">
        <v>147</v>
      </c>
      <c r="K25">
        <v>33</v>
      </c>
      <c r="L25">
        <v>0</v>
      </c>
      <c r="M25">
        <v>3</v>
      </c>
      <c r="N25" s="11">
        <v>-9.0909000000000004E-2</v>
      </c>
      <c r="O25" s="11">
        <v>-0.1</v>
      </c>
      <c r="P25">
        <v>20260719</v>
      </c>
      <c r="Q25">
        <v>46222.653275462966</v>
      </c>
    </row>
    <row r="26" spans="1:17" ht="45">
      <c r="A26" t="s">
        <v>269</v>
      </c>
      <c r="B26" t="s">
        <v>142</v>
      </c>
      <c r="C26" t="s">
        <v>17</v>
      </c>
      <c r="D26" t="s">
        <v>45</v>
      </c>
      <c r="E26" t="s">
        <v>46</v>
      </c>
      <c r="F26" t="s">
        <v>143</v>
      </c>
      <c r="G26" s="1" t="s">
        <v>144</v>
      </c>
      <c r="H26" s="1" t="s">
        <v>145</v>
      </c>
      <c r="I26" s="1" t="s">
        <v>270</v>
      </c>
      <c r="J26" t="s">
        <v>271</v>
      </c>
      <c r="K26">
        <v>36</v>
      </c>
      <c r="L26">
        <v>0</v>
      </c>
      <c r="M26">
        <v>5</v>
      </c>
      <c r="N26" s="11">
        <v>-0.13888900000000001</v>
      </c>
      <c r="O26" s="11">
        <v>-0.14099999999999999</v>
      </c>
      <c r="P26">
        <v>20260719</v>
      </c>
      <c r="Q26">
        <v>46222.653275462966</v>
      </c>
    </row>
    <row r="27" spans="1:17" ht="45">
      <c r="A27" t="s">
        <v>272</v>
      </c>
      <c r="B27" t="s">
        <v>149</v>
      </c>
      <c r="C27" t="s">
        <v>17</v>
      </c>
      <c r="D27" t="s">
        <v>45</v>
      </c>
      <c r="E27" t="s">
        <v>46</v>
      </c>
      <c r="F27" t="s">
        <v>143</v>
      </c>
      <c r="G27" s="1" t="s">
        <v>150</v>
      </c>
      <c r="H27" s="1" t="s">
        <v>151</v>
      </c>
      <c r="I27" s="1" t="s">
        <v>273</v>
      </c>
      <c r="J27" t="s">
        <v>271</v>
      </c>
      <c r="K27">
        <v>36</v>
      </c>
      <c r="L27">
        <v>0</v>
      </c>
      <c r="M27">
        <v>5</v>
      </c>
      <c r="N27" s="11">
        <v>-0.13888900000000001</v>
      </c>
      <c r="O27" s="11">
        <v>-0.14099999999999999</v>
      </c>
      <c r="P27">
        <v>20260719</v>
      </c>
      <c r="Q27">
        <v>46222.653275462966</v>
      </c>
    </row>
    <row r="28" spans="1:17" ht="45">
      <c r="A28" t="s">
        <v>274</v>
      </c>
      <c r="B28" t="s">
        <v>154</v>
      </c>
      <c r="C28" t="s">
        <v>17</v>
      </c>
      <c r="D28" t="s">
        <v>45</v>
      </c>
      <c r="E28" t="s">
        <v>46</v>
      </c>
      <c r="F28" t="s">
        <v>143</v>
      </c>
      <c r="G28" s="1" t="s">
        <v>155</v>
      </c>
      <c r="H28" s="1" t="s">
        <v>156</v>
      </c>
      <c r="I28" s="1" t="s">
        <v>275</v>
      </c>
      <c r="J28" t="s">
        <v>271</v>
      </c>
      <c r="K28">
        <v>34</v>
      </c>
      <c r="L28">
        <v>0</v>
      </c>
      <c r="M28">
        <v>5</v>
      </c>
      <c r="N28" s="11">
        <v>-0.147059</v>
      </c>
      <c r="O28" s="11">
        <v>-0.14099999999999999</v>
      </c>
      <c r="P28">
        <v>20260719</v>
      </c>
      <c r="Q28">
        <v>46222.653275462966</v>
      </c>
    </row>
    <row r="29" spans="1:17" ht="45">
      <c r="A29" t="s">
        <v>276</v>
      </c>
      <c r="B29" t="s">
        <v>160</v>
      </c>
      <c r="C29" t="s">
        <v>17</v>
      </c>
      <c r="D29" t="s">
        <v>45</v>
      </c>
      <c r="E29" t="s">
        <v>46</v>
      </c>
      <c r="F29" t="s">
        <v>143</v>
      </c>
      <c r="G29" s="1" t="s">
        <v>161</v>
      </c>
      <c r="H29" s="1" t="s">
        <v>162</v>
      </c>
      <c r="I29" s="1" t="s">
        <v>277</v>
      </c>
      <c r="J29" t="s">
        <v>271</v>
      </c>
      <c r="K29">
        <v>35</v>
      </c>
      <c r="L29">
        <v>0</v>
      </c>
      <c r="M29">
        <v>5</v>
      </c>
      <c r="N29" s="11">
        <v>-0.14285700000000001</v>
      </c>
      <c r="O29" s="11">
        <v>-0.14099999999999999</v>
      </c>
      <c r="P29">
        <v>20260719</v>
      </c>
      <c r="Q29">
        <v>46222.653275462966</v>
      </c>
    </row>
    <row r="30" spans="1:17" ht="45">
      <c r="A30" t="s">
        <v>278</v>
      </c>
      <c r="B30" t="s">
        <v>165</v>
      </c>
      <c r="C30" t="s">
        <v>17</v>
      </c>
      <c r="D30" t="s">
        <v>45</v>
      </c>
      <c r="E30" t="s">
        <v>46</v>
      </c>
      <c r="F30" t="s">
        <v>166</v>
      </c>
      <c r="G30" s="1" t="s">
        <v>167</v>
      </c>
      <c r="H30" s="1" t="s">
        <v>168</v>
      </c>
      <c r="I30" s="1" t="s">
        <v>279</v>
      </c>
      <c r="J30" t="s">
        <v>271</v>
      </c>
      <c r="K30">
        <v>37</v>
      </c>
      <c r="L30">
        <v>0</v>
      </c>
      <c r="M30">
        <v>5</v>
      </c>
      <c r="N30" s="11">
        <v>-0.13513500000000001</v>
      </c>
      <c r="O30" s="11">
        <v>-0.14099999999999999</v>
      </c>
      <c r="P30">
        <v>20260719</v>
      </c>
      <c r="Q30">
        <v>46222.653275462966</v>
      </c>
    </row>
    <row r="31" spans="1:17" ht="45">
      <c r="A31" t="s">
        <v>280</v>
      </c>
      <c r="B31" t="s">
        <v>171</v>
      </c>
      <c r="C31" t="s">
        <v>17</v>
      </c>
      <c r="D31" t="s">
        <v>45</v>
      </c>
      <c r="E31" t="s">
        <v>46</v>
      </c>
      <c r="F31" t="s">
        <v>166</v>
      </c>
      <c r="G31" s="1" t="s">
        <v>172</v>
      </c>
      <c r="H31" s="1" t="s">
        <v>173</v>
      </c>
      <c r="I31" s="1" t="s">
        <v>281</v>
      </c>
      <c r="J31" t="s">
        <v>271</v>
      </c>
      <c r="K31">
        <v>36</v>
      </c>
      <c r="L31">
        <v>0</v>
      </c>
      <c r="M31">
        <v>5</v>
      </c>
      <c r="N31" s="11">
        <v>-0.13888900000000001</v>
      </c>
      <c r="O31" s="11">
        <v>-0.14099999999999999</v>
      </c>
      <c r="P31">
        <v>20260719</v>
      </c>
      <c r="Q31">
        <v>46222.653275462966</v>
      </c>
    </row>
    <row r="32" spans="1:17" ht="45">
      <c r="A32" t="s">
        <v>282</v>
      </c>
      <c r="B32" t="s">
        <v>176</v>
      </c>
      <c r="C32" t="s">
        <v>17</v>
      </c>
      <c r="D32" t="s">
        <v>45</v>
      </c>
      <c r="E32" t="s">
        <v>46</v>
      </c>
      <c r="F32" t="s">
        <v>166</v>
      </c>
      <c r="G32" s="1" t="s">
        <v>177</v>
      </c>
      <c r="H32" s="1" t="s">
        <v>178</v>
      </c>
      <c r="I32" s="1" t="s">
        <v>283</v>
      </c>
      <c r="J32" t="s">
        <v>271</v>
      </c>
      <c r="K32">
        <v>35</v>
      </c>
      <c r="L32">
        <v>0</v>
      </c>
      <c r="M32">
        <v>4</v>
      </c>
      <c r="N32" s="11">
        <v>-0.114286</v>
      </c>
      <c r="O32" s="11">
        <v>-0.14099999999999999</v>
      </c>
      <c r="P32">
        <v>20260719</v>
      </c>
      <c r="Q32">
        <v>46222.653275462966</v>
      </c>
    </row>
    <row r="33" spans="1:17" ht="45">
      <c r="A33" t="s">
        <v>284</v>
      </c>
      <c r="B33" t="s">
        <v>181</v>
      </c>
      <c r="C33" t="s">
        <v>17</v>
      </c>
      <c r="D33" t="s">
        <v>45</v>
      </c>
      <c r="E33" t="s">
        <v>46</v>
      </c>
      <c r="F33" t="s">
        <v>166</v>
      </c>
      <c r="G33" s="1" t="s">
        <v>182</v>
      </c>
      <c r="H33" s="1" t="s">
        <v>183</v>
      </c>
      <c r="I33" s="1" t="s">
        <v>285</v>
      </c>
      <c r="J33" t="s">
        <v>271</v>
      </c>
      <c r="K33">
        <v>33</v>
      </c>
      <c r="L33">
        <v>0</v>
      </c>
      <c r="M33">
        <v>5</v>
      </c>
      <c r="N33" s="11">
        <v>-0.15151500000000001</v>
      </c>
      <c r="O33" s="11">
        <v>-0.14099999999999999</v>
      </c>
      <c r="P33">
        <v>20260719</v>
      </c>
      <c r="Q33">
        <v>46222.653275462966</v>
      </c>
    </row>
    <row r="34" spans="1:17" ht="45">
      <c r="A34" t="s">
        <v>286</v>
      </c>
      <c r="B34" t="s">
        <v>186</v>
      </c>
      <c r="C34" t="s">
        <v>17</v>
      </c>
      <c r="D34" t="s">
        <v>45</v>
      </c>
      <c r="E34" t="s">
        <v>46</v>
      </c>
      <c r="F34" t="s">
        <v>187</v>
      </c>
      <c r="G34" s="1" t="s">
        <v>188</v>
      </c>
      <c r="H34" s="1" t="s">
        <v>189</v>
      </c>
      <c r="I34" s="1" t="s">
        <v>287</v>
      </c>
      <c r="J34" t="s">
        <v>271</v>
      </c>
      <c r="K34">
        <v>39</v>
      </c>
      <c r="L34">
        <v>0</v>
      </c>
      <c r="M34">
        <v>5</v>
      </c>
      <c r="N34" s="11">
        <v>-0.12820500000000001</v>
      </c>
      <c r="O34" s="11">
        <v>-0.14099999999999999</v>
      </c>
      <c r="P34">
        <v>20260719</v>
      </c>
      <c r="Q34">
        <v>46222.653275462966</v>
      </c>
    </row>
    <row r="35" spans="1:17" ht="30">
      <c r="A35" t="s">
        <v>288</v>
      </c>
      <c r="B35" t="s">
        <v>192</v>
      </c>
      <c r="C35" t="s">
        <v>17</v>
      </c>
      <c r="D35" t="s">
        <v>45</v>
      </c>
      <c r="E35" t="s">
        <v>46</v>
      </c>
      <c r="F35" t="s">
        <v>187</v>
      </c>
      <c r="G35" s="1" t="s">
        <v>193</v>
      </c>
      <c r="H35" s="1" t="s">
        <v>194</v>
      </c>
      <c r="I35" s="1" t="s">
        <v>289</v>
      </c>
      <c r="J35" t="s">
        <v>271</v>
      </c>
      <c r="K35">
        <v>31</v>
      </c>
      <c r="L35">
        <v>0</v>
      </c>
      <c r="M35">
        <v>5</v>
      </c>
      <c r="N35" s="11">
        <v>-0.16128999999999999</v>
      </c>
      <c r="O35" s="11">
        <v>-0.14099999999999999</v>
      </c>
      <c r="P35">
        <v>20260719</v>
      </c>
      <c r="Q35">
        <v>46222.653275462966</v>
      </c>
    </row>
    <row r="36" spans="1:17" ht="45">
      <c r="A36" t="s">
        <v>290</v>
      </c>
      <c r="B36" t="s">
        <v>197</v>
      </c>
      <c r="C36" t="s">
        <v>17</v>
      </c>
      <c r="D36" t="s">
        <v>45</v>
      </c>
      <c r="E36" t="s">
        <v>46</v>
      </c>
      <c r="F36" t="s">
        <v>187</v>
      </c>
      <c r="G36" s="1" t="s">
        <v>198</v>
      </c>
      <c r="H36" s="1" t="s">
        <v>199</v>
      </c>
      <c r="I36" s="1" t="s">
        <v>291</v>
      </c>
      <c r="J36" t="s">
        <v>271</v>
      </c>
      <c r="K36">
        <v>38</v>
      </c>
      <c r="L36">
        <v>0</v>
      </c>
      <c r="M36">
        <v>5</v>
      </c>
      <c r="N36" s="11">
        <v>-0.131579</v>
      </c>
      <c r="O36" s="11">
        <v>-0.14099999999999999</v>
      </c>
      <c r="P36">
        <v>20260719</v>
      </c>
      <c r="Q36">
        <v>46222.653275462966</v>
      </c>
    </row>
    <row r="37" spans="1:17" ht="45">
      <c r="A37" t="s">
        <v>292</v>
      </c>
      <c r="B37" t="s">
        <v>202</v>
      </c>
      <c r="C37" t="s">
        <v>17</v>
      </c>
      <c r="D37" t="s">
        <v>45</v>
      </c>
      <c r="E37" t="s">
        <v>46</v>
      </c>
      <c r="F37" t="s">
        <v>187</v>
      </c>
      <c r="G37" s="1" t="s">
        <v>203</v>
      </c>
      <c r="H37" s="1" t="s">
        <v>204</v>
      </c>
      <c r="I37" s="1" t="s">
        <v>293</v>
      </c>
      <c r="J37" t="s">
        <v>271</v>
      </c>
      <c r="K37">
        <v>36</v>
      </c>
      <c r="L37">
        <v>0</v>
      </c>
      <c r="M37">
        <v>5</v>
      </c>
      <c r="N37" s="11">
        <v>-0.13888900000000001</v>
      </c>
      <c r="O37" s="11">
        <v>-0.14099999999999999</v>
      </c>
      <c r="P37">
        <v>20260719</v>
      </c>
      <c r="Q37">
        <v>46222.653275462966</v>
      </c>
    </row>
    <row r="38" spans="1:17" ht="45">
      <c r="A38" t="s">
        <v>294</v>
      </c>
      <c r="B38" t="s">
        <v>207</v>
      </c>
      <c r="C38" t="s">
        <v>17</v>
      </c>
      <c r="D38" t="s">
        <v>45</v>
      </c>
      <c r="E38" t="s">
        <v>46</v>
      </c>
      <c r="F38" t="s">
        <v>208</v>
      </c>
      <c r="G38" s="1" t="s">
        <v>209</v>
      </c>
      <c r="H38" s="1" t="s">
        <v>210</v>
      </c>
      <c r="I38" s="1" t="s">
        <v>295</v>
      </c>
      <c r="J38" t="s">
        <v>271</v>
      </c>
      <c r="K38">
        <v>37</v>
      </c>
      <c r="L38">
        <v>0</v>
      </c>
      <c r="M38">
        <v>5</v>
      </c>
      <c r="N38" s="11">
        <v>-0.13513500000000001</v>
      </c>
      <c r="O38" s="11">
        <v>-0.14099999999999999</v>
      </c>
      <c r="P38">
        <v>20260719</v>
      </c>
      <c r="Q38">
        <v>46222.653275462966</v>
      </c>
    </row>
    <row r="39" spans="1:17" ht="45">
      <c r="A39" t="s">
        <v>296</v>
      </c>
      <c r="B39" t="s">
        <v>213</v>
      </c>
      <c r="C39" t="s">
        <v>17</v>
      </c>
      <c r="D39" t="s">
        <v>45</v>
      </c>
      <c r="E39" t="s">
        <v>46</v>
      </c>
      <c r="F39" t="s">
        <v>208</v>
      </c>
      <c r="G39" s="1" t="s">
        <v>214</v>
      </c>
      <c r="H39" s="1" t="s">
        <v>215</v>
      </c>
      <c r="I39" s="1" t="s">
        <v>297</v>
      </c>
      <c r="J39" t="s">
        <v>271</v>
      </c>
      <c r="K39">
        <v>34</v>
      </c>
      <c r="L39">
        <v>0</v>
      </c>
      <c r="M39">
        <v>5</v>
      </c>
      <c r="N39" s="11">
        <v>-0.147059</v>
      </c>
      <c r="O39" s="11">
        <v>-0.14099999999999999</v>
      </c>
      <c r="P39">
        <v>20260719</v>
      </c>
      <c r="Q39">
        <v>46222.653275462966</v>
      </c>
    </row>
    <row r="40" spans="1:17" ht="45">
      <c r="A40" t="s">
        <v>298</v>
      </c>
      <c r="B40" t="s">
        <v>218</v>
      </c>
      <c r="C40" t="s">
        <v>17</v>
      </c>
      <c r="D40" t="s">
        <v>45</v>
      </c>
      <c r="E40" t="s">
        <v>46</v>
      </c>
      <c r="F40" t="s">
        <v>208</v>
      </c>
      <c r="G40" s="1" t="s">
        <v>219</v>
      </c>
      <c r="H40" s="1" t="s">
        <v>220</v>
      </c>
      <c r="I40" s="1" t="s">
        <v>299</v>
      </c>
      <c r="J40" t="s">
        <v>271</v>
      </c>
      <c r="K40">
        <v>34</v>
      </c>
      <c r="L40">
        <v>0</v>
      </c>
      <c r="M40">
        <v>5</v>
      </c>
      <c r="N40" s="11">
        <v>-0.147059</v>
      </c>
      <c r="O40" s="11">
        <v>-0.14099999999999999</v>
      </c>
      <c r="P40">
        <v>20260719</v>
      </c>
      <c r="Q40">
        <v>46222.653275462966</v>
      </c>
    </row>
    <row r="41" spans="1:17" ht="45">
      <c r="A41" t="s">
        <v>300</v>
      </c>
      <c r="B41" t="s">
        <v>223</v>
      </c>
      <c r="C41" t="s">
        <v>17</v>
      </c>
      <c r="D41" t="s">
        <v>45</v>
      </c>
      <c r="E41" t="s">
        <v>46</v>
      </c>
      <c r="F41" t="s">
        <v>208</v>
      </c>
      <c r="G41" s="1" t="s">
        <v>224</v>
      </c>
      <c r="H41" s="1" t="s">
        <v>225</v>
      </c>
      <c r="I41" s="1" t="s">
        <v>301</v>
      </c>
      <c r="J41" t="s">
        <v>271</v>
      </c>
      <c r="K41">
        <v>36</v>
      </c>
      <c r="L41">
        <v>0</v>
      </c>
      <c r="M41">
        <v>5</v>
      </c>
      <c r="N41" s="11">
        <v>-0.13888900000000001</v>
      </c>
      <c r="O41" s="11">
        <v>-0.14099999999999999</v>
      </c>
      <c r="P41">
        <v>20260719</v>
      </c>
      <c r="Q41">
        <v>46222.653275462966</v>
      </c>
    </row>
    <row r="42" spans="1:17" ht="45">
      <c r="A42" t="s">
        <v>302</v>
      </c>
      <c r="B42" t="s">
        <v>228</v>
      </c>
      <c r="C42" t="s">
        <v>17</v>
      </c>
      <c r="D42" t="s">
        <v>45</v>
      </c>
      <c r="E42" t="s">
        <v>46</v>
      </c>
      <c r="F42" t="s">
        <v>229</v>
      </c>
      <c r="G42" s="1" t="s">
        <v>230</v>
      </c>
      <c r="H42" s="1" t="s">
        <v>231</v>
      </c>
      <c r="I42" s="1" t="s">
        <v>303</v>
      </c>
      <c r="J42" t="s">
        <v>271</v>
      </c>
      <c r="K42">
        <v>33</v>
      </c>
      <c r="L42">
        <v>0</v>
      </c>
      <c r="M42">
        <v>5</v>
      </c>
      <c r="N42" s="11">
        <v>-0.15151500000000001</v>
      </c>
      <c r="O42" s="11">
        <v>-0.14099999999999999</v>
      </c>
      <c r="P42">
        <v>20260719</v>
      </c>
      <c r="Q42">
        <v>46222.653275462966</v>
      </c>
    </row>
    <row r="43" spans="1:17" ht="45">
      <c r="A43" t="s">
        <v>304</v>
      </c>
      <c r="B43" t="s">
        <v>234</v>
      </c>
      <c r="C43" t="s">
        <v>17</v>
      </c>
      <c r="D43" t="s">
        <v>45</v>
      </c>
      <c r="E43" t="s">
        <v>46</v>
      </c>
      <c r="F43" t="s">
        <v>229</v>
      </c>
      <c r="G43" s="1" t="s">
        <v>235</v>
      </c>
      <c r="H43" s="1" t="s">
        <v>236</v>
      </c>
      <c r="I43" s="1" t="s">
        <v>305</v>
      </c>
      <c r="J43" t="s">
        <v>271</v>
      </c>
      <c r="K43">
        <v>39</v>
      </c>
      <c r="L43">
        <v>0</v>
      </c>
      <c r="M43">
        <v>5</v>
      </c>
      <c r="N43" s="11">
        <v>-0.12820500000000001</v>
      </c>
      <c r="O43" s="11">
        <v>-0.14099999999999999</v>
      </c>
      <c r="P43">
        <v>20260719</v>
      </c>
      <c r="Q43">
        <v>46222.653275462966</v>
      </c>
    </row>
    <row r="44" spans="1:17" ht="45">
      <c r="A44" t="s">
        <v>306</v>
      </c>
      <c r="B44" t="s">
        <v>239</v>
      </c>
      <c r="C44" t="s">
        <v>17</v>
      </c>
      <c r="D44" t="s">
        <v>45</v>
      </c>
      <c r="E44" t="s">
        <v>46</v>
      </c>
      <c r="F44" t="s">
        <v>229</v>
      </c>
      <c r="G44" s="1" t="s">
        <v>240</v>
      </c>
      <c r="H44" s="1" t="s">
        <v>241</v>
      </c>
      <c r="I44" s="1" t="s">
        <v>307</v>
      </c>
      <c r="J44" t="s">
        <v>271</v>
      </c>
      <c r="K44">
        <v>36</v>
      </c>
      <c r="L44">
        <v>0</v>
      </c>
      <c r="M44">
        <v>5</v>
      </c>
      <c r="N44" s="11">
        <v>-0.13888900000000001</v>
      </c>
      <c r="O44" s="11">
        <v>-0.14099999999999999</v>
      </c>
      <c r="P44">
        <v>20260719</v>
      </c>
      <c r="Q44">
        <v>46222.653275462966</v>
      </c>
    </row>
    <row r="45" spans="1:17" ht="45">
      <c r="A45" t="s">
        <v>308</v>
      </c>
      <c r="B45" t="s">
        <v>244</v>
      </c>
      <c r="C45" t="s">
        <v>17</v>
      </c>
      <c r="D45" t="s">
        <v>45</v>
      </c>
      <c r="E45" t="s">
        <v>46</v>
      </c>
      <c r="F45" t="s">
        <v>229</v>
      </c>
      <c r="G45" s="1" t="s">
        <v>245</v>
      </c>
      <c r="H45" s="1" t="s">
        <v>246</v>
      </c>
      <c r="I45" s="1" t="s">
        <v>309</v>
      </c>
      <c r="J45" t="s">
        <v>271</v>
      </c>
      <c r="K45">
        <v>34</v>
      </c>
      <c r="L45">
        <v>0</v>
      </c>
      <c r="M45">
        <v>5</v>
      </c>
      <c r="N45" s="11">
        <v>-0.147059</v>
      </c>
      <c r="O45" s="11">
        <v>-0.14099999999999999</v>
      </c>
      <c r="P45">
        <v>20260719</v>
      </c>
      <c r="Q45">
        <v>46222.653275462966</v>
      </c>
    </row>
    <row r="46" spans="1:17" ht="45">
      <c r="A46" t="s">
        <v>310</v>
      </c>
      <c r="B46" t="s">
        <v>249</v>
      </c>
      <c r="C46" t="s">
        <v>17</v>
      </c>
      <c r="D46" t="s">
        <v>45</v>
      </c>
      <c r="E46" t="s">
        <v>46</v>
      </c>
      <c r="F46" t="s">
        <v>250</v>
      </c>
      <c r="G46" s="1" t="s">
        <v>251</v>
      </c>
      <c r="H46" s="1" t="s">
        <v>252</v>
      </c>
      <c r="I46" s="1" t="s">
        <v>311</v>
      </c>
      <c r="J46" t="s">
        <v>271</v>
      </c>
      <c r="K46">
        <v>32</v>
      </c>
      <c r="L46">
        <v>0</v>
      </c>
      <c r="M46">
        <v>5</v>
      </c>
      <c r="N46" s="11">
        <v>-0.15625</v>
      </c>
      <c r="O46" s="11">
        <v>-0.14099999999999999</v>
      </c>
      <c r="P46">
        <v>20260719</v>
      </c>
      <c r="Q46">
        <v>46222.653275462966</v>
      </c>
    </row>
    <row r="47" spans="1:17" ht="45">
      <c r="A47" t="s">
        <v>312</v>
      </c>
      <c r="B47" t="s">
        <v>255</v>
      </c>
      <c r="C47" t="s">
        <v>17</v>
      </c>
      <c r="D47" t="s">
        <v>45</v>
      </c>
      <c r="E47" t="s">
        <v>46</v>
      </c>
      <c r="F47" t="s">
        <v>250</v>
      </c>
      <c r="G47" s="1" t="s">
        <v>256</v>
      </c>
      <c r="H47" s="1" t="s">
        <v>257</v>
      </c>
      <c r="I47" s="1" t="s">
        <v>313</v>
      </c>
      <c r="J47" t="s">
        <v>271</v>
      </c>
      <c r="K47">
        <v>37</v>
      </c>
      <c r="L47">
        <v>0</v>
      </c>
      <c r="M47">
        <v>5</v>
      </c>
      <c r="N47" s="11">
        <v>-0.13513500000000001</v>
      </c>
      <c r="O47" s="11">
        <v>-0.14099999999999999</v>
      </c>
      <c r="P47">
        <v>20260719</v>
      </c>
      <c r="Q47">
        <v>46222.653275462966</v>
      </c>
    </row>
    <row r="48" spans="1:17" ht="45">
      <c r="A48" t="s">
        <v>314</v>
      </c>
      <c r="B48" t="s">
        <v>260</v>
      </c>
      <c r="C48" t="s">
        <v>17</v>
      </c>
      <c r="D48" t="s">
        <v>45</v>
      </c>
      <c r="E48" t="s">
        <v>46</v>
      </c>
      <c r="F48" t="s">
        <v>250</v>
      </c>
      <c r="G48" s="1" t="s">
        <v>261</v>
      </c>
      <c r="H48" s="1" t="s">
        <v>262</v>
      </c>
      <c r="I48" s="1" t="s">
        <v>315</v>
      </c>
      <c r="J48" t="s">
        <v>271</v>
      </c>
      <c r="K48">
        <v>32</v>
      </c>
      <c r="L48">
        <v>0</v>
      </c>
      <c r="M48">
        <v>5</v>
      </c>
      <c r="N48" s="11">
        <v>-0.15625</v>
      </c>
      <c r="O48" s="11">
        <v>-0.14099999999999999</v>
      </c>
      <c r="P48">
        <v>20260719</v>
      </c>
      <c r="Q48">
        <v>46222.653275462966</v>
      </c>
    </row>
    <row r="49" spans="1:17" ht="45">
      <c r="A49" t="s">
        <v>316</v>
      </c>
      <c r="B49" t="s">
        <v>265</v>
      </c>
      <c r="C49" t="s">
        <v>17</v>
      </c>
      <c r="D49" t="s">
        <v>45</v>
      </c>
      <c r="E49" t="s">
        <v>46</v>
      </c>
      <c r="F49" t="s">
        <v>250</v>
      </c>
      <c r="G49" s="1" t="s">
        <v>266</v>
      </c>
      <c r="H49" s="1" t="s">
        <v>267</v>
      </c>
      <c r="I49" s="1" t="s">
        <v>317</v>
      </c>
      <c r="J49" t="s">
        <v>271</v>
      </c>
      <c r="K49">
        <v>37</v>
      </c>
      <c r="L49">
        <v>0</v>
      </c>
      <c r="M49">
        <v>5</v>
      </c>
      <c r="N49" s="11">
        <v>-0.13513500000000001</v>
      </c>
      <c r="O49" s="11">
        <v>-0.14099999999999999</v>
      </c>
      <c r="P49">
        <v>20260719</v>
      </c>
      <c r="Q49">
        <v>46222.653275462966</v>
      </c>
    </row>
    <row r="50" spans="1:17" ht="45">
      <c r="A50" t="s">
        <v>318</v>
      </c>
      <c r="B50" t="s">
        <v>142</v>
      </c>
      <c r="C50" t="s">
        <v>18</v>
      </c>
      <c r="D50" t="s">
        <v>47</v>
      </c>
      <c r="E50" t="s">
        <v>48</v>
      </c>
      <c r="F50" t="s">
        <v>143</v>
      </c>
      <c r="G50" s="1" t="s">
        <v>144</v>
      </c>
      <c r="H50" s="1" t="s">
        <v>145</v>
      </c>
      <c r="I50" s="1" t="s">
        <v>319</v>
      </c>
      <c r="J50" t="s">
        <v>320</v>
      </c>
      <c r="K50">
        <v>39</v>
      </c>
      <c r="L50">
        <v>0</v>
      </c>
      <c r="M50">
        <v>5</v>
      </c>
      <c r="N50" s="11">
        <v>-0.12820500000000001</v>
      </c>
      <c r="O50" s="11">
        <v>-0.13200000000000001</v>
      </c>
      <c r="P50">
        <v>20260719</v>
      </c>
      <c r="Q50">
        <v>46222.653275462966</v>
      </c>
    </row>
    <row r="51" spans="1:17" ht="45">
      <c r="A51" t="s">
        <v>321</v>
      </c>
      <c r="B51" t="s">
        <v>149</v>
      </c>
      <c r="C51" t="s">
        <v>18</v>
      </c>
      <c r="D51" t="s">
        <v>47</v>
      </c>
      <c r="E51" t="s">
        <v>48</v>
      </c>
      <c r="F51" t="s">
        <v>143</v>
      </c>
      <c r="G51" s="1" t="s">
        <v>150</v>
      </c>
      <c r="H51" s="1" t="s">
        <v>151</v>
      </c>
      <c r="I51" s="1" t="s">
        <v>322</v>
      </c>
      <c r="J51" t="s">
        <v>320</v>
      </c>
      <c r="K51">
        <v>39</v>
      </c>
      <c r="L51">
        <v>0</v>
      </c>
      <c r="M51">
        <v>5</v>
      </c>
      <c r="N51" s="11">
        <v>-0.12820500000000001</v>
      </c>
      <c r="O51" s="11">
        <v>-0.13200000000000001</v>
      </c>
      <c r="P51">
        <v>20260719</v>
      </c>
      <c r="Q51">
        <v>46222.653275462966</v>
      </c>
    </row>
    <row r="52" spans="1:17" ht="45">
      <c r="A52" t="s">
        <v>323</v>
      </c>
      <c r="B52" t="s">
        <v>154</v>
      </c>
      <c r="C52" t="s">
        <v>18</v>
      </c>
      <c r="D52" t="s">
        <v>47</v>
      </c>
      <c r="E52" t="s">
        <v>48</v>
      </c>
      <c r="F52" t="s">
        <v>143</v>
      </c>
      <c r="G52" s="1" t="s">
        <v>155</v>
      </c>
      <c r="H52" s="1" t="s">
        <v>156</v>
      </c>
      <c r="I52" s="1" t="s">
        <v>324</v>
      </c>
      <c r="J52" t="s">
        <v>320</v>
      </c>
      <c r="K52">
        <v>37</v>
      </c>
      <c r="L52">
        <v>0</v>
      </c>
      <c r="M52">
        <v>5</v>
      </c>
      <c r="N52" s="11">
        <v>-0.13513500000000001</v>
      </c>
      <c r="O52" s="11">
        <v>-0.13200000000000001</v>
      </c>
      <c r="P52">
        <v>20260719</v>
      </c>
      <c r="Q52">
        <v>46222.653275462966</v>
      </c>
    </row>
    <row r="53" spans="1:17" ht="45">
      <c r="A53" t="s">
        <v>325</v>
      </c>
      <c r="B53" t="s">
        <v>160</v>
      </c>
      <c r="C53" t="s">
        <v>18</v>
      </c>
      <c r="D53" t="s">
        <v>47</v>
      </c>
      <c r="E53" t="s">
        <v>48</v>
      </c>
      <c r="F53" t="s">
        <v>143</v>
      </c>
      <c r="G53" s="1" t="s">
        <v>161</v>
      </c>
      <c r="H53" s="1" t="s">
        <v>162</v>
      </c>
      <c r="I53" s="1" t="s">
        <v>326</v>
      </c>
      <c r="J53" t="s">
        <v>320</v>
      </c>
      <c r="K53">
        <v>38</v>
      </c>
      <c r="L53">
        <v>0</v>
      </c>
      <c r="M53">
        <v>5</v>
      </c>
      <c r="N53" s="11">
        <v>-0.131579</v>
      </c>
      <c r="O53" s="11">
        <v>-0.13200000000000001</v>
      </c>
      <c r="P53">
        <v>20260719</v>
      </c>
      <c r="Q53">
        <v>46222.653275462966</v>
      </c>
    </row>
    <row r="54" spans="1:17" ht="45">
      <c r="A54" t="s">
        <v>327</v>
      </c>
      <c r="B54" t="s">
        <v>165</v>
      </c>
      <c r="C54" t="s">
        <v>18</v>
      </c>
      <c r="D54" t="s">
        <v>47</v>
      </c>
      <c r="E54" t="s">
        <v>48</v>
      </c>
      <c r="F54" t="s">
        <v>166</v>
      </c>
      <c r="G54" s="1" t="s">
        <v>167</v>
      </c>
      <c r="H54" s="1" t="s">
        <v>168</v>
      </c>
      <c r="I54" s="1" t="s">
        <v>328</v>
      </c>
      <c r="J54" t="s">
        <v>320</v>
      </c>
      <c r="K54">
        <v>40</v>
      </c>
      <c r="L54">
        <v>0</v>
      </c>
      <c r="M54">
        <v>5</v>
      </c>
      <c r="N54" s="11">
        <v>-0.125</v>
      </c>
      <c r="O54" s="11">
        <v>-0.13200000000000001</v>
      </c>
      <c r="P54">
        <v>20260719</v>
      </c>
      <c r="Q54">
        <v>46222.653275462966</v>
      </c>
    </row>
    <row r="55" spans="1:17" ht="45">
      <c r="A55" t="s">
        <v>329</v>
      </c>
      <c r="B55" t="s">
        <v>171</v>
      </c>
      <c r="C55" t="s">
        <v>18</v>
      </c>
      <c r="D55" t="s">
        <v>47</v>
      </c>
      <c r="E55" t="s">
        <v>48</v>
      </c>
      <c r="F55" t="s">
        <v>166</v>
      </c>
      <c r="G55" s="1" t="s">
        <v>172</v>
      </c>
      <c r="H55" s="1" t="s">
        <v>173</v>
      </c>
      <c r="I55" s="1" t="s">
        <v>330</v>
      </c>
      <c r="J55" t="s">
        <v>320</v>
      </c>
      <c r="K55">
        <v>39</v>
      </c>
      <c r="L55">
        <v>0</v>
      </c>
      <c r="M55">
        <v>5</v>
      </c>
      <c r="N55" s="11">
        <v>-0.12820500000000001</v>
      </c>
      <c r="O55" s="11">
        <v>-0.13200000000000001</v>
      </c>
      <c r="P55">
        <v>20260719</v>
      </c>
      <c r="Q55">
        <v>46222.653275462966</v>
      </c>
    </row>
    <row r="56" spans="1:17" ht="45">
      <c r="A56" t="s">
        <v>331</v>
      </c>
      <c r="B56" t="s">
        <v>176</v>
      </c>
      <c r="C56" t="s">
        <v>18</v>
      </c>
      <c r="D56" t="s">
        <v>47</v>
      </c>
      <c r="E56" t="s">
        <v>48</v>
      </c>
      <c r="F56" t="s">
        <v>166</v>
      </c>
      <c r="G56" s="1" t="s">
        <v>177</v>
      </c>
      <c r="H56" s="1" t="s">
        <v>178</v>
      </c>
      <c r="I56" s="1" t="s">
        <v>332</v>
      </c>
      <c r="J56" t="s">
        <v>320</v>
      </c>
      <c r="K56">
        <v>38</v>
      </c>
      <c r="L56">
        <v>0</v>
      </c>
      <c r="M56">
        <v>4</v>
      </c>
      <c r="N56" s="11">
        <v>-0.105263</v>
      </c>
      <c r="O56" s="11">
        <v>-0.13200000000000001</v>
      </c>
      <c r="P56">
        <v>20260719</v>
      </c>
      <c r="Q56">
        <v>46222.653275462966</v>
      </c>
    </row>
    <row r="57" spans="1:17" ht="45">
      <c r="A57" t="s">
        <v>333</v>
      </c>
      <c r="B57" t="s">
        <v>181</v>
      </c>
      <c r="C57" t="s">
        <v>18</v>
      </c>
      <c r="D57" t="s">
        <v>47</v>
      </c>
      <c r="E57" t="s">
        <v>48</v>
      </c>
      <c r="F57" t="s">
        <v>166</v>
      </c>
      <c r="G57" s="1" t="s">
        <v>182</v>
      </c>
      <c r="H57" s="1" t="s">
        <v>183</v>
      </c>
      <c r="I57" s="1" t="s">
        <v>334</v>
      </c>
      <c r="J57" t="s">
        <v>320</v>
      </c>
      <c r="K57">
        <v>36</v>
      </c>
      <c r="L57">
        <v>0</v>
      </c>
      <c r="M57">
        <v>5</v>
      </c>
      <c r="N57" s="11">
        <v>-0.13888900000000001</v>
      </c>
      <c r="O57" s="11">
        <v>-0.13200000000000001</v>
      </c>
      <c r="P57">
        <v>20260719</v>
      </c>
      <c r="Q57">
        <v>46222.653275462966</v>
      </c>
    </row>
    <row r="58" spans="1:17" ht="45">
      <c r="A58" t="s">
        <v>335</v>
      </c>
      <c r="B58" t="s">
        <v>186</v>
      </c>
      <c r="C58" t="s">
        <v>18</v>
      </c>
      <c r="D58" t="s">
        <v>47</v>
      </c>
      <c r="E58" t="s">
        <v>48</v>
      </c>
      <c r="F58" t="s">
        <v>187</v>
      </c>
      <c r="G58" s="1" t="s">
        <v>188</v>
      </c>
      <c r="H58" s="1" t="s">
        <v>189</v>
      </c>
      <c r="I58" s="1" t="s">
        <v>336</v>
      </c>
      <c r="J58" t="s">
        <v>320</v>
      </c>
      <c r="K58">
        <v>42</v>
      </c>
      <c r="L58">
        <v>0</v>
      </c>
      <c r="M58">
        <v>5</v>
      </c>
      <c r="N58" s="11">
        <v>-0.119048</v>
      </c>
      <c r="O58" s="11">
        <v>-0.13200000000000001</v>
      </c>
      <c r="P58">
        <v>20260719</v>
      </c>
      <c r="Q58">
        <v>46222.653275462966</v>
      </c>
    </row>
    <row r="59" spans="1:17" ht="45">
      <c r="A59" t="s">
        <v>337</v>
      </c>
      <c r="B59" t="s">
        <v>192</v>
      </c>
      <c r="C59" t="s">
        <v>18</v>
      </c>
      <c r="D59" t="s">
        <v>47</v>
      </c>
      <c r="E59" t="s">
        <v>48</v>
      </c>
      <c r="F59" t="s">
        <v>187</v>
      </c>
      <c r="G59" s="1" t="s">
        <v>193</v>
      </c>
      <c r="H59" s="1" t="s">
        <v>194</v>
      </c>
      <c r="I59" s="1" t="s">
        <v>338</v>
      </c>
      <c r="J59" t="s">
        <v>320</v>
      </c>
      <c r="K59">
        <v>34</v>
      </c>
      <c r="L59">
        <v>0</v>
      </c>
      <c r="M59">
        <v>5</v>
      </c>
      <c r="N59" s="11">
        <v>-0.147059</v>
      </c>
      <c r="O59" s="11">
        <v>-0.13200000000000001</v>
      </c>
      <c r="P59">
        <v>20260719</v>
      </c>
      <c r="Q59">
        <v>46222.653275462966</v>
      </c>
    </row>
    <row r="60" spans="1:17" ht="45">
      <c r="A60" t="s">
        <v>339</v>
      </c>
      <c r="B60" t="s">
        <v>197</v>
      </c>
      <c r="C60" t="s">
        <v>18</v>
      </c>
      <c r="D60" t="s">
        <v>47</v>
      </c>
      <c r="E60" t="s">
        <v>48</v>
      </c>
      <c r="F60" t="s">
        <v>187</v>
      </c>
      <c r="G60" s="1" t="s">
        <v>198</v>
      </c>
      <c r="H60" s="1" t="s">
        <v>199</v>
      </c>
      <c r="I60" s="1" t="s">
        <v>340</v>
      </c>
      <c r="J60" t="s">
        <v>320</v>
      </c>
      <c r="K60">
        <v>41</v>
      </c>
      <c r="L60">
        <v>0</v>
      </c>
      <c r="M60">
        <v>5</v>
      </c>
      <c r="N60" s="11">
        <v>-0.121951</v>
      </c>
      <c r="O60" s="11">
        <v>-0.13200000000000001</v>
      </c>
      <c r="P60">
        <v>20260719</v>
      </c>
      <c r="Q60">
        <v>46222.653275462966</v>
      </c>
    </row>
    <row r="61" spans="1:17" ht="45">
      <c r="A61" t="s">
        <v>341</v>
      </c>
      <c r="B61" t="s">
        <v>202</v>
      </c>
      <c r="C61" t="s">
        <v>18</v>
      </c>
      <c r="D61" t="s">
        <v>47</v>
      </c>
      <c r="E61" t="s">
        <v>48</v>
      </c>
      <c r="F61" t="s">
        <v>187</v>
      </c>
      <c r="G61" s="1" t="s">
        <v>203</v>
      </c>
      <c r="H61" s="1" t="s">
        <v>204</v>
      </c>
      <c r="I61" s="1" t="s">
        <v>342</v>
      </c>
      <c r="J61" t="s">
        <v>320</v>
      </c>
      <c r="K61">
        <v>39</v>
      </c>
      <c r="L61">
        <v>0</v>
      </c>
      <c r="M61">
        <v>5</v>
      </c>
      <c r="N61" s="11">
        <v>-0.12820500000000001</v>
      </c>
      <c r="O61" s="11">
        <v>-0.13200000000000001</v>
      </c>
      <c r="P61">
        <v>20260719</v>
      </c>
      <c r="Q61">
        <v>46222.653275462966</v>
      </c>
    </row>
    <row r="62" spans="1:17" ht="45">
      <c r="A62" t="s">
        <v>343</v>
      </c>
      <c r="B62" t="s">
        <v>207</v>
      </c>
      <c r="C62" t="s">
        <v>18</v>
      </c>
      <c r="D62" t="s">
        <v>47</v>
      </c>
      <c r="E62" t="s">
        <v>48</v>
      </c>
      <c r="F62" t="s">
        <v>208</v>
      </c>
      <c r="G62" s="1" t="s">
        <v>209</v>
      </c>
      <c r="H62" s="1" t="s">
        <v>210</v>
      </c>
      <c r="I62" s="1" t="s">
        <v>344</v>
      </c>
      <c r="J62" t="s">
        <v>320</v>
      </c>
      <c r="K62">
        <v>40</v>
      </c>
      <c r="L62">
        <v>0</v>
      </c>
      <c r="M62">
        <v>5</v>
      </c>
      <c r="N62" s="11">
        <v>-0.125</v>
      </c>
      <c r="O62" s="11">
        <v>-0.13200000000000001</v>
      </c>
      <c r="P62">
        <v>20260719</v>
      </c>
      <c r="Q62">
        <v>46222.653275462966</v>
      </c>
    </row>
    <row r="63" spans="1:17" ht="45">
      <c r="A63" t="s">
        <v>345</v>
      </c>
      <c r="B63" t="s">
        <v>213</v>
      </c>
      <c r="C63" t="s">
        <v>18</v>
      </c>
      <c r="D63" t="s">
        <v>47</v>
      </c>
      <c r="E63" t="s">
        <v>48</v>
      </c>
      <c r="F63" t="s">
        <v>208</v>
      </c>
      <c r="G63" s="1" t="s">
        <v>214</v>
      </c>
      <c r="H63" s="1" t="s">
        <v>215</v>
      </c>
      <c r="I63" s="1" t="s">
        <v>346</v>
      </c>
      <c r="J63" t="s">
        <v>320</v>
      </c>
      <c r="K63">
        <v>37</v>
      </c>
      <c r="L63">
        <v>0</v>
      </c>
      <c r="M63">
        <v>5</v>
      </c>
      <c r="N63" s="11">
        <v>-0.13513500000000001</v>
      </c>
      <c r="O63" s="11">
        <v>-0.13200000000000001</v>
      </c>
      <c r="P63">
        <v>20260719</v>
      </c>
      <c r="Q63">
        <v>46222.653275462966</v>
      </c>
    </row>
    <row r="64" spans="1:17" ht="45">
      <c r="A64" t="s">
        <v>347</v>
      </c>
      <c r="B64" t="s">
        <v>218</v>
      </c>
      <c r="C64" t="s">
        <v>18</v>
      </c>
      <c r="D64" t="s">
        <v>47</v>
      </c>
      <c r="E64" t="s">
        <v>48</v>
      </c>
      <c r="F64" t="s">
        <v>208</v>
      </c>
      <c r="G64" s="1" t="s">
        <v>219</v>
      </c>
      <c r="H64" s="1" t="s">
        <v>220</v>
      </c>
      <c r="I64" s="1" t="s">
        <v>348</v>
      </c>
      <c r="J64" t="s">
        <v>320</v>
      </c>
      <c r="K64">
        <v>37</v>
      </c>
      <c r="L64">
        <v>0</v>
      </c>
      <c r="M64">
        <v>5</v>
      </c>
      <c r="N64" s="11">
        <v>-0.13513500000000001</v>
      </c>
      <c r="O64" s="11">
        <v>-0.13200000000000001</v>
      </c>
      <c r="P64">
        <v>20260719</v>
      </c>
      <c r="Q64">
        <v>46222.653275462966</v>
      </c>
    </row>
    <row r="65" spans="1:17" ht="45">
      <c r="A65" t="s">
        <v>349</v>
      </c>
      <c r="B65" t="s">
        <v>223</v>
      </c>
      <c r="C65" t="s">
        <v>18</v>
      </c>
      <c r="D65" t="s">
        <v>47</v>
      </c>
      <c r="E65" t="s">
        <v>48</v>
      </c>
      <c r="F65" t="s">
        <v>208</v>
      </c>
      <c r="G65" s="1" t="s">
        <v>224</v>
      </c>
      <c r="H65" s="1" t="s">
        <v>225</v>
      </c>
      <c r="I65" s="1" t="s">
        <v>350</v>
      </c>
      <c r="J65" t="s">
        <v>320</v>
      </c>
      <c r="K65">
        <v>39</v>
      </c>
      <c r="L65">
        <v>0</v>
      </c>
      <c r="M65">
        <v>5</v>
      </c>
      <c r="N65" s="11">
        <v>-0.12820500000000001</v>
      </c>
      <c r="O65" s="11">
        <v>-0.13200000000000001</v>
      </c>
      <c r="P65">
        <v>20260719</v>
      </c>
      <c r="Q65">
        <v>46222.653275462966</v>
      </c>
    </row>
    <row r="66" spans="1:17" ht="45">
      <c r="A66" t="s">
        <v>351</v>
      </c>
      <c r="B66" t="s">
        <v>228</v>
      </c>
      <c r="C66" t="s">
        <v>18</v>
      </c>
      <c r="D66" t="s">
        <v>47</v>
      </c>
      <c r="E66" t="s">
        <v>48</v>
      </c>
      <c r="F66" t="s">
        <v>229</v>
      </c>
      <c r="G66" s="1" t="s">
        <v>230</v>
      </c>
      <c r="H66" s="1" t="s">
        <v>231</v>
      </c>
      <c r="I66" s="1" t="s">
        <v>352</v>
      </c>
      <c r="J66" t="s">
        <v>320</v>
      </c>
      <c r="K66">
        <v>36</v>
      </c>
      <c r="L66">
        <v>0</v>
      </c>
      <c r="M66">
        <v>5</v>
      </c>
      <c r="N66" s="11">
        <v>-0.13888900000000001</v>
      </c>
      <c r="O66" s="11">
        <v>-0.13200000000000001</v>
      </c>
      <c r="P66">
        <v>20260719</v>
      </c>
      <c r="Q66">
        <v>46222.653275462966</v>
      </c>
    </row>
    <row r="67" spans="1:17" ht="45">
      <c r="A67" t="s">
        <v>353</v>
      </c>
      <c r="B67" t="s">
        <v>234</v>
      </c>
      <c r="C67" t="s">
        <v>18</v>
      </c>
      <c r="D67" t="s">
        <v>47</v>
      </c>
      <c r="E67" t="s">
        <v>48</v>
      </c>
      <c r="F67" t="s">
        <v>229</v>
      </c>
      <c r="G67" s="1" t="s">
        <v>235</v>
      </c>
      <c r="H67" s="1" t="s">
        <v>236</v>
      </c>
      <c r="I67" s="1" t="s">
        <v>354</v>
      </c>
      <c r="J67" t="s">
        <v>320</v>
      </c>
      <c r="K67">
        <v>42</v>
      </c>
      <c r="L67">
        <v>0</v>
      </c>
      <c r="M67">
        <v>5</v>
      </c>
      <c r="N67" s="11">
        <v>-0.119048</v>
      </c>
      <c r="O67" s="11">
        <v>-0.13200000000000001</v>
      </c>
      <c r="P67">
        <v>20260719</v>
      </c>
      <c r="Q67">
        <v>46222.653275462966</v>
      </c>
    </row>
    <row r="68" spans="1:17" ht="45">
      <c r="A68" t="s">
        <v>355</v>
      </c>
      <c r="B68" t="s">
        <v>239</v>
      </c>
      <c r="C68" t="s">
        <v>18</v>
      </c>
      <c r="D68" t="s">
        <v>47</v>
      </c>
      <c r="E68" t="s">
        <v>48</v>
      </c>
      <c r="F68" t="s">
        <v>229</v>
      </c>
      <c r="G68" s="1" t="s">
        <v>240</v>
      </c>
      <c r="H68" s="1" t="s">
        <v>241</v>
      </c>
      <c r="I68" s="1" t="s">
        <v>356</v>
      </c>
      <c r="J68" t="s">
        <v>320</v>
      </c>
      <c r="K68">
        <v>39</v>
      </c>
      <c r="L68">
        <v>0</v>
      </c>
      <c r="M68">
        <v>5</v>
      </c>
      <c r="N68" s="11">
        <v>-0.12820500000000001</v>
      </c>
      <c r="O68" s="11">
        <v>-0.13200000000000001</v>
      </c>
      <c r="P68">
        <v>20260719</v>
      </c>
      <c r="Q68">
        <v>46222.653275462966</v>
      </c>
    </row>
    <row r="69" spans="1:17" ht="45">
      <c r="A69" t="s">
        <v>357</v>
      </c>
      <c r="B69" t="s">
        <v>244</v>
      </c>
      <c r="C69" t="s">
        <v>18</v>
      </c>
      <c r="D69" t="s">
        <v>47</v>
      </c>
      <c r="E69" t="s">
        <v>48</v>
      </c>
      <c r="F69" t="s">
        <v>229</v>
      </c>
      <c r="G69" s="1" t="s">
        <v>245</v>
      </c>
      <c r="H69" s="1" t="s">
        <v>246</v>
      </c>
      <c r="I69" s="1" t="s">
        <v>358</v>
      </c>
      <c r="J69" t="s">
        <v>320</v>
      </c>
      <c r="K69">
        <v>37</v>
      </c>
      <c r="L69">
        <v>0</v>
      </c>
      <c r="M69">
        <v>5</v>
      </c>
      <c r="N69" s="11">
        <v>-0.13513500000000001</v>
      </c>
      <c r="O69" s="11">
        <v>-0.13200000000000001</v>
      </c>
      <c r="P69">
        <v>20260719</v>
      </c>
      <c r="Q69">
        <v>46222.653275462966</v>
      </c>
    </row>
    <row r="70" spans="1:17" ht="45">
      <c r="A70" t="s">
        <v>359</v>
      </c>
      <c r="B70" t="s">
        <v>249</v>
      </c>
      <c r="C70" t="s">
        <v>18</v>
      </c>
      <c r="D70" t="s">
        <v>47</v>
      </c>
      <c r="E70" t="s">
        <v>48</v>
      </c>
      <c r="F70" t="s">
        <v>250</v>
      </c>
      <c r="G70" s="1" t="s">
        <v>251</v>
      </c>
      <c r="H70" s="1" t="s">
        <v>252</v>
      </c>
      <c r="I70" s="1" t="s">
        <v>360</v>
      </c>
      <c r="J70" t="s">
        <v>320</v>
      </c>
      <c r="K70">
        <v>35</v>
      </c>
      <c r="L70">
        <v>0</v>
      </c>
      <c r="M70">
        <v>5</v>
      </c>
      <c r="N70" s="11">
        <v>-0.14285700000000001</v>
      </c>
      <c r="O70" s="11">
        <v>-0.13200000000000001</v>
      </c>
      <c r="P70">
        <v>20260719</v>
      </c>
      <c r="Q70">
        <v>46222.653275462966</v>
      </c>
    </row>
    <row r="71" spans="1:17" ht="45">
      <c r="A71" t="s">
        <v>361</v>
      </c>
      <c r="B71" t="s">
        <v>255</v>
      </c>
      <c r="C71" t="s">
        <v>18</v>
      </c>
      <c r="D71" t="s">
        <v>47</v>
      </c>
      <c r="E71" t="s">
        <v>48</v>
      </c>
      <c r="F71" t="s">
        <v>250</v>
      </c>
      <c r="G71" s="1" t="s">
        <v>256</v>
      </c>
      <c r="H71" s="1" t="s">
        <v>257</v>
      </c>
      <c r="I71" s="1" t="s">
        <v>362</v>
      </c>
      <c r="J71" t="s">
        <v>320</v>
      </c>
      <c r="K71">
        <v>40</v>
      </c>
      <c r="L71">
        <v>0</v>
      </c>
      <c r="M71">
        <v>5</v>
      </c>
      <c r="N71" s="11">
        <v>-0.125</v>
      </c>
      <c r="O71" s="11">
        <v>-0.13200000000000001</v>
      </c>
      <c r="P71">
        <v>20260719</v>
      </c>
      <c r="Q71">
        <v>46222.653275462966</v>
      </c>
    </row>
    <row r="72" spans="1:17" ht="45">
      <c r="A72" t="s">
        <v>363</v>
      </c>
      <c r="B72" t="s">
        <v>260</v>
      </c>
      <c r="C72" t="s">
        <v>18</v>
      </c>
      <c r="D72" t="s">
        <v>47</v>
      </c>
      <c r="E72" t="s">
        <v>48</v>
      </c>
      <c r="F72" t="s">
        <v>250</v>
      </c>
      <c r="G72" s="1" t="s">
        <v>261</v>
      </c>
      <c r="H72" s="1" t="s">
        <v>262</v>
      </c>
      <c r="I72" s="1" t="s">
        <v>364</v>
      </c>
      <c r="J72" t="s">
        <v>320</v>
      </c>
      <c r="K72">
        <v>35</v>
      </c>
      <c r="L72">
        <v>0</v>
      </c>
      <c r="M72">
        <v>5</v>
      </c>
      <c r="N72" s="11">
        <v>-0.14285700000000001</v>
      </c>
      <c r="O72" s="11">
        <v>-0.13200000000000001</v>
      </c>
      <c r="P72">
        <v>20260719</v>
      </c>
      <c r="Q72">
        <v>46222.653275462966</v>
      </c>
    </row>
    <row r="73" spans="1:17" ht="45">
      <c r="A73" t="s">
        <v>365</v>
      </c>
      <c r="B73" t="s">
        <v>265</v>
      </c>
      <c r="C73" t="s">
        <v>18</v>
      </c>
      <c r="D73" t="s">
        <v>47</v>
      </c>
      <c r="E73" t="s">
        <v>48</v>
      </c>
      <c r="F73" t="s">
        <v>250</v>
      </c>
      <c r="G73" s="1" t="s">
        <v>266</v>
      </c>
      <c r="H73" s="1" t="s">
        <v>267</v>
      </c>
      <c r="I73" s="1" t="s">
        <v>366</v>
      </c>
      <c r="J73" t="s">
        <v>320</v>
      </c>
      <c r="K73">
        <v>40</v>
      </c>
      <c r="L73">
        <v>0</v>
      </c>
      <c r="M73">
        <v>5</v>
      </c>
      <c r="N73" s="11">
        <v>-0.125</v>
      </c>
      <c r="O73" s="11">
        <v>-0.13200000000000001</v>
      </c>
      <c r="P73">
        <v>20260719</v>
      </c>
      <c r="Q73">
        <v>46222.653275462966</v>
      </c>
    </row>
    <row r="74" spans="1:17" ht="30">
      <c r="A74" t="s">
        <v>367</v>
      </c>
      <c r="B74" t="s">
        <v>142</v>
      </c>
      <c r="C74" t="s">
        <v>19</v>
      </c>
      <c r="D74" t="s">
        <v>49</v>
      </c>
      <c r="E74" t="s">
        <v>50</v>
      </c>
      <c r="F74" t="s">
        <v>143</v>
      </c>
      <c r="G74" s="1" t="s">
        <v>144</v>
      </c>
      <c r="H74" s="1" t="s">
        <v>145</v>
      </c>
      <c r="I74" s="1" t="s">
        <v>368</v>
      </c>
      <c r="J74" t="s">
        <v>369</v>
      </c>
      <c r="K74">
        <v>25</v>
      </c>
      <c r="L74">
        <v>0</v>
      </c>
      <c r="M74">
        <v>2</v>
      </c>
      <c r="N74" s="11">
        <v>-0.08</v>
      </c>
      <c r="O74" s="11">
        <v>-7.4999999999999997E-2</v>
      </c>
      <c r="P74">
        <v>20260719</v>
      </c>
      <c r="Q74">
        <v>46222.653275462966</v>
      </c>
    </row>
    <row r="75" spans="1:17" ht="30">
      <c r="A75" t="s">
        <v>370</v>
      </c>
      <c r="B75" t="s">
        <v>149</v>
      </c>
      <c r="C75" t="s">
        <v>19</v>
      </c>
      <c r="D75" t="s">
        <v>49</v>
      </c>
      <c r="E75" t="s">
        <v>50</v>
      </c>
      <c r="F75" t="s">
        <v>143</v>
      </c>
      <c r="G75" s="1" t="s">
        <v>150</v>
      </c>
      <c r="H75" s="1" t="s">
        <v>151</v>
      </c>
      <c r="I75" s="1" t="s">
        <v>371</v>
      </c>
      <c r="J75" t="s">
        <v>369</v>
      </c>
      <c r="K75">
        <v>26</v>
      </c>
      <c r="L75">
        <v>0</v>
      </c>
      <c r="M75">
        <v>2</v>
      </c>
      <c r="N75" s="11">
        <v>-7.6923000000000005E-2</v>
      </c>
      <c r="O75" s="11">
        <v>-7.4999999999999997E-2</v>
      </c>
      <c r="P75">
        <v>20260719</v>
      </c>
      <c r="Q75">
        <v>46222.653275462966</v>
      </c>
    </row>
    <row r="76" spans="1:17" ht="30">
      <c r="A76" t="s">
        <v>372</v>
      </c>
      <c r="B76" t="s">
        <v>154</v>
      </c>
      <c r="C76" t="s">
        <v>19</v>
      </c>
      <c r="D76" t="s">
        <v>49</v>
      </c>
      <c r="E76" t="s">
        <v>50</v>
      </c>
      <c r="F76" t="s">
        <v>143</v>
      </c>
      <c r="G76" s="1" t="s">
        <v>155</v>
      </c>
      <c r="H76" s="1" t="s">
        <v>156</v>
      </c>
      <c r="I76" s="1" t="s">
        <v>373</v>
      </c>
      <c r="J76" t="s">
        <v>369</v>
      </c>
      <c r="K76">
        <v>23</v>
      </c>
      <c r="L76">
        <v>0</v>
      </c>
      <c r="M76">
        <v>2</v>
      </c>
      <c r="N76" s="11">
        <v>-8.6957000000000007E-2</v>
      </c>
      <c r="O76" s="11">
        <v>-7.4999999999999997E-2</v>
      </c>
      <c r="P76">
        <v>20260719</v>
      </c>
      <c r="Q76">
        <v>46222.653275462966</v>
      </c>
    </row>
    <row r="77" spans="1:17" ht="30">
      <c r="A77" t="s">
        <v>374</v>
      </c>
      <c r="B77" t="s">
        <v>160</v>
      </c>
      <c r="C77" t="s">
        <v>19</v>
      </c>
      <c r="D77" t="s">
        <v>49</v>
      </c>
      <c r="E77" t="s">
        <v>50</v>
      </c>
      <c r="F77" t="s">
        <v>143</v>
      </c>
      <c r="G77" s="1" t="s">
        <v>161</v>
      </c>
      <c r="H77" s="1" t="s">
        <v>162</v>
      </c>
      <c r="I77" s="1" t="s">
        <v>375</v>
      </c>
      <c r="J77" t="s">
        <v>369</v>
      </c>
      <c r="K77">
        <v>25</v>
      </c>
      <c r="L77">
        <v>0</v>
      </c>
      <c r="M77">
        <v>2</v>
      </c>
      <c r="N77" s="11">
        <v>-0.08</v>
      </c>
      <c r="O77" s="11">
        <v>-7.4999999999999997E-2</v>
      </c>
      <c r="P77">
        <v>20260719</v>
      </c>
      <c r="Q77">
        <v>46222.653275462966</v>
      </c>
    </row>
    <row r="78" spans="1:17" ht="30">
      <c r="A78" t="s">
        <v>376</v>
      </c>
      <c r="B78" t="s">
        <v>165</v>
      </c>
      <c r="C78" t="s">
        <v>19</v>
      </c>
      <c r="D78" t="s">
        <v>49</v>
      </c>
      <c r="E78" t="s">
        <v>50</v>
      </c>
      <c r="F78" t="s">
        <v>166</v>
      </c>
      <c r="G78" s="1" t="s">
        <v>167</v>
      </c>
      <c r="H78" s="1" t="s">
        <v>168</v>
      </c>
      <c r="I78" s="1" t="s">
        <v>377</v>
      </c>
      <c r="J78" t="s">
        <v>369</v>
      </c>
      <c r="K78">
        <v>27</v>
      </c>
      <c r="L78">
        <v>0</v>
      </c>
      <c r="M78">
        <v>2</v>
      </c>
      <c r="N78" s="11">
        <v>-7.4074000000000001E-2</v>
      </c>
      <c r="O78" s="11">
        <v>-7.4999999999999997E-2</v>
      </c>
      <c r="P78">
        <v>20260719</v>
      </c>
      <c r="Q78">
        <v>46222.653275462966</v>
      </c>
    </row>
    <row r="79" spans="1:17" ht="30">
      <c r="A79" t="s">
        <v>378</v>
      </c>
      <c r="B79" t="s">
        <v>171</v>
      </c>
      <c r="C79" t="s">
        <v>19</v>
      </c>
      <c r="D79" t="s">
        <v>49</v>
      </c>
      <c r="E79" t="s">
        <v>50</v>
      </c>
      <c r="F79" t="s">
        <v>166</v>
      </c>
      <c r="G79" s="1" t="s">
        <v>172</v>
      </c>
      <c r="H79" s="1" t="s">
        <v>173</v>
      </c>
      <c r="I79" s="1" t="s">
        <v>379</v>
      </c>
      <c r="J79" t="s">
        <v>369</v>
      </c>
      <c r="K79">
        <v>26</v>
      </c>
      <c r="L79">
        <v>0</v>
      </c>
      <c r="M79">
        <v>2</v>
      </c>
      <c r="N79" s="11">
        <v>-7.6923000000000005E-2</v>
      </c>
      <c r="O79" s="11">
        <v>-7.4999999999999997E-2</v>
      </c>
      <c r="P79">
        <v>20260719</v>
      </c>
      <c r="Q79">
        <v>46222.653275462966</v>
      </c>
    </row>
    <row r="80" spans="1:17" ht="30">
      <c r="A80" t="s">
        <v>380</v>
      </c>
      <c r="B80" t="s">
        <v>176</v>
      </c>
      <c r="C80" t="s">
        <v>19</v>
      </c>
      <c r="D80" t="s">
        <v>49</v>
      </c>
      <c r="E80" t="s">
        <v>50</v>
      </c>
      <c r="F80" t="s">
        <v>166</v>
      </c>
      <c r="G80" s="1" t="s">
        <v>177</v>
      </c>
      <c r="H80" s="1" t="s">
        <v>178</v>
      </c>
      <c r="I80" s="1" t="s">
        <v>381</v>
      </c>
      <c r="J80" t="s">
        <v>369</v>
      </c>
      <c r="K80">
        <v>26</v>
      </c>
      <c r="L80">
        <v>0</v>
      </c>
      <c r="M80">
        <v>2</v>
      </c>
      <c r="N80" s="11">
        <v>-7.6923000000000005E-2</v>
      </c>
      <c r="O80" s="11">
        <v>-7.4999999999999997E-2</v>
      </c>
      <c r="P80">
        <v>20260719</v>
      </c>
      <c r="Q80">
        <v>46222.653275462966</v>
      </c>
    </row>
    <row r="81" spans="1:17" ht="30">
      <c r="A81" t="s">
        <v>382</v>
      </c>
      <c r="B81" t="s">
        <v>181</v>
      </c>
      <c r="C81" t="s">
        <v>19</v>
      </c>
      <c r="D81" t="s">
        <v>49</v>
      </c>
      <c r="E81" t="s">
        <v>50</v>
      </c>
      <c r="F81" t="s">
        <v>166</v>
      </c>
      <c r="G81" s="1" t="s">
        <v>182</v>
      </c>
      <c r="H81" s="1" t="s">
        <v>183</v>
      </c>
      <c r="I81" s="1" t="s">
        <v>383</v>
      </c>
      <c r="J81" t="s">
        <v>369</v>
      </c>
      <c r="K81">
        <v>24</v>
      </c>
      <c r="L81">
        <v>0</v>
      </c>
      <c r="M81">
        <v>2</v>
      </c>
      <c r="N81" s="11">
        <v>-8.3333000000000004E-2</v>
      </c>
      <c r="O81" s="11">
        <v>-7.4999999999999997E-2</v>
      </c>
      <c r="P81">
        <v>20260719</v>
      </c>
      <c r="Q81">
        <v>46222.653275462966</v>
      </c>
    </row>
    <row r="82" spans="1:17" ht="30">
      <c r="A82" t="s">
        <v>384</v>
      </c>
      <c r="B82" t="s">
        <v>186</v>
      </c>
      <c r="C82" t="s">
        <v>19</v>
      </c>
      <c r="D82" t="s">
        <v>49</v>
      </c>
      <c r="E82" t="s">
        <v>50</v>
      </c>
      <c r="F82" t="s">
        <v>187</v>
      </c>
      <c r="G82" s="1" t="s">
        <v>188</v>
      </c>
      <c r="H82" s="1" t="s">
        <v>189</v>
      </c>
      <c r="I82" s="1" t="s">
        <v>385</v>
      </c>
      <c r="J82" t="s">
        <v>369</v>
      </c>
      <c r="K82">
        <v>31</v>
      </c>
      <c r="L82">
        <v>0</v>
      </c>
      <c r="M82">
        <v>2</v>
      </c>
      <c r="N82" s="11">
        <v>-6.4516000000000004E-2</v>
      </c>
      <c r="O82" s="11">
        <v>-7.4999999999999997E-2</v>
      </c>
      <c r="P82">
        <v>20260719</v>
      </c>
      <c r="Q82">
        <v>46222.653275462966</v>
      </c>
    </row>
    <row r="83" spans="1:17" ht="30">
      <c r="A83" t="s">
        <v>386</v>
      </c>
      <c r="B83" t="s">
        <v>192</v>
      </c>
      <c r="C83" t="s">
        <v>19</v>
      </c>
      <c r="D83" t="s">
        <v>49</v>
      </c>
      <c r="E83" t="s">
        <v>50</v>
      </c>
      <c r="F83" t="s">
        <v>187</v>
      </c>
      <c r="G83" s="1" t="s">
        <v>193</v>
      </c>
      <c r="H83" s="1" t="s">
        <v>194</v>
      </c>
      <c r="I83" s="1" t="s">
        <v>387</v>
      </c>
      <c r="J83" t="s">
        <v>369</v>
      </c>
      <c r="K83">
        <v>23</v>
      </c>
      <c r="L83">
        <v>0</v>
      </c>
      <c r="M83">
        <v>2</v>
      </c>
      <c r="N83" s="11">
        <v>-8.6957000000000007E-2</v>
      </c>
      <c r="O83" s="11">
        <v>-7.4999999999999997E-2</v>
      </c>
      <c r="P83">
        <v>20260719</v>
      </c>
      <c r="Q83">
        <v>46222.653275462966</v>
      </c>
    </row>
    <row r="84" spans="1:17" ht="30">
      <c r="A84" t="s">
        <v>388</v>
      </c>
      <c r="B84" t="s">
        <v>197</v>
      </c>
      <c r="C84" t="s">
        <v>19</v>
      </c>
      <c r="D84" t="s">
        <v>49</v>
      </c>
      <c r="E84" t="s">
        <v>50</v>
      </c>
      <c r="F84" t="s">
        <v>187</v>
      </c>
      <c r="G84" s="1" t="s">
        <v>198</v>
      </c>
      <c r="H84" s="1" t="s">
        <v>199</v>
      </c>
      <c r="I84" s="1" t="s">
        <v>389</v>
      </c>
      <c r="J84" t="s">
        <v>369</v>
      </c>
      <c r="K84">
        <v>27</v>
      </c>
      <c r="L84">
        <v>0</v>
      </c>
      <c r="M84">
        <v>2</v>
      </c>
      <c r="N84" s="11">
        <v>-7.4074000000000001E-2</v>
      </c>
      <c r="O84" s="11">
        <v>-7.4999999999999997E-2</v>
      </c>
      <c r="P84">
        <v>20260719</v>
      </c>
      <c r="Q84">
        <v>46222.653275462966</v>
      </c>
    </row>
    <row r="85" spans="1:17" ht="30">
      <c r="A85" t="s">
        <v>390</v>
      </c>
      <c r="B85" t="s">
        <v>202</v>
      </c>
      <c r="C85" t="s">
        <v>19</v>
      </c>
      <c r="D85" t="s">
        <v>49</v>
      </c>
      <c r="E85" t="s">
        <v>50</v>
      </c>
      <c r="F85" t="s">
        <v>187</v>
      </c>
      <c r="G85" s="1" t="s">
        <v>203</v>
      </c>
      <c r="H85" s="1" t="s">
        <v>204</v>
      </c>
      <c r="I85" s="1" t="s">
        <v>391</v>
      </c>
      <c r="J85" t="s">
        <v>369</v>
      </c>
      <c r="K85">
        <v>27</v>
      </c>
      <c r="L85">
        <v>0</v>
      </c>
      <c r="M85">
        <v>2</v>
      </c>
      <c r="N85" s="11">
        <v>-7.4074000000000001E-2</v>
      </c>
      <c r="O85" s="11">
        <v>-7.4999999999999997E-2</v>
      </c>
      <c r="P85">
        <v>20260719</v>
      </c>
      <c r="Q85">
        <v>46222.653275462966</v>
      </c>
    </row>
    <row r="86" spans="1:17" ht="30">
      <c r="A86" t="s">
        <v>392</v>
      </c>
      <c r="B86" t="s">
        <v>207</v>
      </c>
      <c r="C86" t="s">
        <v>19</v>
      </c>
      <c r="D86" t="s">
        <v>49</v>
      </c>
      <c r="E86" t="s">
        <v>50</v>
      </c>
      <c r="F86" t="s">
        <v>208</v>
      </c>
      <c r="G86" s="1" t="s">
        <v>209</v>
      </c>
      <c r="H86" s="1" t="s">
        <v>210</v>
      </c>
      <c r="I86" s="1" t="s">
        <v>393</v>
      </c>
      <c r="J86" t="s">
        <v>369</v>
      </c>
      <c r="K86">
        <v>28</v>
      </c>
      <c r="L86">
        <v>0</v>
      </c>
      <c r="M86">
        <v>2</v>
      </c>
      <c r="N86" s="11">
        <v>-7.1429000000000006E-2</v>
      </c>
      <c r="O86" s="11">
        <v>-7.4999999999999997E-2</v>
      </c>
      <c r="P86">
        <v>20260719</v>
      </c>
      <c r="Q86">
        <v>46222.653275462966</v>
      </c>
    </row>
    <row r="87" spans="1:17" ht="30">
      <c r="A87" t="s">
        <v>394</v>
      </c>
      <c r="B87" t="s">
        <v>213</v>
      </c>
      <c r="C87" t="s">
        <v>19</v>
      </c>
      <c r="D87" t="s">
        <v>49</v>
      </c>
      <c r="E87" t="s">
        <v>50</v>
      </c>
      <c r="F87" t="s">
        <v>208</v>
      </c>
      <c r="G87" s="1" t="s">
        <v>214</v>
      </c>
      <c r="H87" s="1" t="s">
        <v>215</v>
      </c>
      <c r="I87" s="1" t="s">
        <v>395</v>
      </c>
      <c r="J87" t="s">
        <v>369</v>
      </c>
      <c r="K87">
        <v>25</v>
      </c>
      <c r="L87">
        <v>0</v>
      </c>
      <c r="M87">
        <v>2</v>
      </c>
      <c r="N87" s="11">
        <v>-0.08</v>
      </c>
      <c r="O87" s="11">
        <v>-7.4999999999999997E-2</v>
      </c>
      <c r="P87">
        <v>20260719</v>
      </c>
      <c r="Q87">
        <v>46222.653275462966</v>
      </c>
    </row>
    <row r="88" spans="1:17" ht="30">
      <c r="A88" t="s">
        <v>396</v>
      </c>
      <c r="B88" t="s">
        <v>218</v>
      </c>
      <c r="C88" t="s">
        <v>19</v>
      </c>
      <c r="D88" t="s">
        <v>49</v>
      </c>
      <c r="E88" t="s">
        <v>50</v>
      </c>
      <c r="F88" t="s">
        <v>208</v>
      </c>
      <c r="G88" s="1" t="s">
        <v>219</v>
      </c>
      <c r="H88" s="1" t="s">
        <v>220</v>
      </c>
      <c r="I88" s="1" t="s">
        <v>397</v>
      </c>
      <c r="J88" t="s">
        <v>369</v>
      </c>
      <c r="K88">
        <v>25</v>
      </c>
      <c r="L88">
        <v>0</v>
      </c>
      <c r="M88">
        <v>2</v>
      </c>
      <c r="N88" s="11">
        <v>-0.08</v>
      </c>
      <c r="O88" s="11">
        <v>-7.4999999999999997E-2</v>
      </c>
      <c r="P88">
        <v>20260719</v>
      </c>
      <c r="Q88">
        <v>46222.653275462966</v>
      </c>
    </row>
    <row r="89" spans="1:17" ht="30">
      <c r="A89" t="s">
        <v>398</v>
      </c>
      <c r="B89" t="s">
        <v>223</v>
      </c>
      <c r="C89" t="s">
        <v>19</v>
      </c>
      <c r="D89" t="s">
        <v>49</v>
      </c>
      <c r="E89" t="s">
        <v>50</v>
      </c>
      <c r="F89" t="s">
        <v>208</v>
      </c>
      <c r="G89" s="1" t="s">
        <v>224</v>
      </c>
      <c r="H89" s="1" t="s">
        <v>225</v>
      </c>
      <c r="I89" s="1" t="s">
        <v>399</v>
      </c>
      <c r="J89" t="s">
        <v>369</v>
      </c>
      <c r="K89">
        <v>28</v>
      </c>
      <c r="L89">
        <v>0</v>
      </c>
      <c r="M89">
        <v>2</v>
      </c>
      <c r="N89" s="11">
        <v>-7.1429000000000006E-2</v>
      </c>
      <c r="O89" s="11">
        <v>-7.4999999999999997E-2</v>
      </c>
      <c r="P89">
        <v>20260719</v>
      </c>
      <c r="Q89">
        <v>46222.653275462966</v>
      </c>
    </row>
    <row r="90" spans="1:17" ht="30">
      <c r="A90" t="s">
        <v>400</v>
      </c>
      <c r="B90" t="s">
        <v>228</v>
      </c>
      <c r="C90" t="s">
        <v>19</v>
      </c>
      <c r="D90" t="s">
        <v>49</v>
      </c>
      <c r="E90" t="s">
        <v>50</v>
      </c>
      <c r="F90" t="s">
        <v>229</v>
      </c>
      <c r="G90" s="1" t="s">
        <v>230</v>
      </c>
      <c r="H90" s="1" t="s">
        <v>231</v>
      </c>
      <c r="I90" s="1" t="s">
        <v>401</v>
      </c>
      <c r="J90" t="s">
        <v>369</v>
      </c>
      <c r="K90">
        <v>24</v>
      </c>
      <c r="L90">
        <v>0</v>
      </c>
      <c r="M90">
        <v>2</v>
      </c>
      <c r="N90" s="11">
        <v>-8.3333000000000004E-2</v>
      </c>
      <c r="O90" s="11">
        <v>-7.4999999999999997E-2</v>
      </c>
      <c r="P90">
        <v>20260719</v>
      </c>
      <c r="Q90">
        <v>46222.653275462966</v>
      </c>
    </row>
    <row r="91" spans="1:17" ht="30">
      <c r="A91" t="s">
        <v>402</v>
      </c>
      <c r="B91" t="s">
        <v>234</v>
      </c>
      <c r="C91" t="s">
        <v>19</v>
      </c>
      <c r="D91" t="s">
        <v>49</v>
      </c>
      <c r="E91" t="s">
        <v>50</v>
      </c>
      <c r="F91" t="s">
        <v>229</v>
      </c>
      <c r="G91" s="1" t="s">
        <v>235</v>
      </c>
      <c r="H91" s="1" t="s">
        <v>236</v>
      </c>
      <c r="I91" s="1" t="s">
        <v>403</v>
      </c>
      <c r="J91" t="s">
        <v>369</v>
      </c>
      <c r="K91">
        <v>30</v>
      </c>
      <c r="L91">
        <v>0</v>
      </c>
      <c r="M91">
        <v>2</v>
      </c>
      <c r="N91" s="11">
        <v>-6.6667000000000004E-2</v>
      </c>
      <c r="O91" s="11">
        <v>-7.4999999999999997E-2</v>
      </c>
      <c r="P91">
        <v>20260719</v>
      </c>
      <c r="Q91">
        <v>46222.653275462966</v>
      </c>
    </row>
    <row r="92" spans="1:17" ht="30">
      <c r="A92" t="s">
        <v>404</v>
      </c>
      <c r="B92" t="s">
        <v>239</v>
      </c>
      <c r="C92" t="s">
        <v>19</v>
      </c>
      <c r="D92" t="s">
        <v>49</v>
      </c>
      <c r="E92" t="s">
        <v>50</v>
      </c>
      <c r="F92" t="s">
        <v>229</v>
      </c>
      <c r="G92" s="1" t="s">
        <v>240</v>
      </c>
      <c r="H92" s="1" t="s">
        <v>241</v>
      </c>
      <c r="I92" s="1" t="s">
        <v>405</v>
      </c>
      <c r="J92" t="s">
        <v>369</v>
      </c>
      <c r="K92">
        <v>28</v>
      </c>
      <c r="L92">
        <v>0</v>
      </c>
      <c r="M92">
        <v>2</v>
      </c>
      <c r="N92" s="11">
        <v>-7.1429000000000006E-2</v>
      </c>
      <c r="O92" s="11">
        <v>-7.4999999999999997E-2</v>
      </c>
      <c r="P92">
        <v>20260719</v>
      </c>
      <c r="Q92">
        <v>46222.653275462966</v>
      </c>
    </row>
    <row r="93" spans="1:17" ht="30">
      <c r="A93" t="s">
        <v>406</v>
      </c>
      <c r="B93" t="s">
        <v>244</v>
      </c>
      <c r="C93" t="s">
        <v>19</v>
      </c>
      <c r="D93" t="s">
        <v>49</v>
      </c>
      <c r="E93" t="s">
        <v>50</v>
      </c>
      <c r="F93" t="s">
        <v>229</v>
      </c>
      <c r="G93" s="1" t="s">
        <v>245</v>
      </c>
      <c r="H93" s="1" t="s">
        <v>246</v>
      </c>
      <c r="I93" s="1" t="s">
        <v>407</v>
      </c>
      <c r="J93" t="s">
        <v>369</v>
      </c>
      <c r="K93">
        <v>24</v>
      </c>
      <c r="L93">
        <v>0</v>
      </c>
      <c r="M93">
        <v>2</v>
      </c>
      <c r="N93" s="11">
        <v>-8.3333000000000004E-2</v>
      </c>
      <c r="O93" s="11">
        <v>-7.4999999999999997E-2</v>
      </c>
      <c r="P93">
        <v>20260719</v>
      </c>
      <c r="Q93">
        <v>46222.653275462966</v>
      </c>
    </row>
    <row r="94" spans="1:17" ht="30">
      <c r="A94" t="s">
        <v>408</v>
      </c>
      <c r="B94" t="s">
        <v>249</v>
      </c>
      <c r="C94" t="s">
        <v>19</v>
      </c>
      <c r="D94" t="s">
        <v>49</v>
      </c>
      <c r="E94" t="s">
        <v>50</v>
      </c>
      <c r="F94" t="s">
        <v>250</v>
      </c>
      <c r="G94" s="1" t="s">
        <v>251</v>
      </c>
      <c r="H94" s="1" t="s">
        <v>252</v>
      </c>
      <c r="I94" s="1" t="s">
        <v>409</v>
      </c>
      <c r="J94" t="s">
        <v>369</v>
      </c>
      <c r="K94">
        <v>23</v>
      </c>
      <c r="L94">
        <v>0</v>
      </c>
      <c r="M94">
        <v>2</v>
      </c>
      <c r="N94" s="11">
        <v>-8.6957000000000007E-2</v>
      </c>
      <c r="O94" s="11">
        <v>-7.4999999999999997E-2</v>
      </c>
      <c r="P94">
        <v>20260719</v>
      </c>
      <c r="Q94">
        <v>46222.653275462966</v>
      </c>
    </row>
    <row r="95" spans="1:17" ht="30">
      <c r="A95" t="s">
        <v>410</v>
      </c>
      <c r="B95" t="s">
        <v>255</v>
      </c>
      <c r="C95" t="s">
        <v>19</v>
      </c>
      <c r="D95" t="s">
        <v>49</v>
      </c>
      <c r="E95" t="s">
        <v>50</v>
      </c>
      <c r="F95" t="s">
        <v>250</v>
      </c>
      <c r="G95" s="1" t="s">
        <v>256</v>
      </c>
      <c r="H95" s="1" t="s">
        <v>257</v>
      </c>
      <c r="I95" s="1" t="s">
        <v>411</v>
      </c>
      <c r="J95" t="s">
        <v>369</v>
      </c>
      <c r="K95">
        <v>28</v>
      </c>
      <c r="L95">
        <v>0</v>
      </c>
      <c r="M95">
        <v>2</v>
      </c>
      <c r="N95" s="11">
        <v>-7.1429000000000006E-2</v>
      </c>
      <c r="O95" s="11">
        <v>-7.4999999999999997E-2</v>
      </c>
      <c r="P95">
        <v>20260719</v>
      </c>
      <c r="Q95">
        <v>46222.653275462966</v>
      </c>
    </row>
    <row r="96" spans="1:17" ht="30">
      <c r="A96" t="s">
        <v>412</v>
      </c>
      <c r="B96" t="s">
        <v>260</v>
      </c>
      <c r="C96" t="s">
        <v>19</v>
      </c>
      <c r="D96" t="s">
        <v>49</v>
      </c>
      <c r="E96" t="s">
        <v>50</v>
      </c>
      <c r="F96" t="s">
        <v>250</v>
      </c>
      <c r="G96" s="1" t="s">
        <v>261</v>
      </c>
      <c r="H96" s="1" t="s">
        <v>262</v>
      </c>
      <c r="I96" s="1" t="s">
        <v>413</v>
      </c>
      <c r="J96" t="s">
        <v>369</v>
      </c>
      <c r="K96">
        <v>23</v>
      </c>
      <c r="L96">
        <v>0</v>
      </c>
      <c r="M96">
        <v>2</v>
      </c>
      <c r="N96" s="11">
        <v>-8.6957000000000007E-2</v>
      </c>
      <c r="O96" s="11">
        <v>-7.4999999999999997E-2</v>
      </c>
      <c r="P96">
        <v>20260719</v>
      </c>
      <c r="Q96">
        <v>46222.653275462966</v>
      </c>
    </row>
    <row r="97" spans="1:17" ht="30">
      <c r="A97" t="s">
        <v>414</v>
      </c>
      <c r="B97" t="s">
        <v>265</v>
      </c>
      <c r="C97" t="s">
        <v>19</v>
      </c>
      <c r="D97" t="s">
        <v>49</v>
      </c>
      <c r="E97" t="s">
        <v>50</v>
      </c>
      <c r="F97" t="s">
        <v>250</v>
      </c>
      <c r="G97" s="1" t="s">
        <v>266</v>
      </c>
      <c r="H97" s="1" t="s">
        <v>267</v>
      </c>
      <c r="I97" s="1" t="s">
        <v>415</v>
      </c>
      <c r="J97" t="s">
        <v>369</v>
      </c>
      <c r="K97">
        <v>28</v>
      </c>
      <c r="L97">
        <v>0</v>
      </c>
      <c r="M97">
        <v>2</v>
      </c>
      <c r="N97" s="11">
        <v>-7.1429000000000006E-2</v>
      </c>
      <c r="O97" s="11">
        <v>-7.4999999999999997E-2</v>
      </c>
      <c r="P97">
        <v>20260719</v>
      </c>
      <c r="Q97">
        <v>46222.653275462966</v>
      </c>
    </row>
    <row r="98" spans="1:17" ht="45">
      <c r="A98" t="s">
        <v>416</v>
      </c>
      <c r="B98" t="s">
        <v>142</v>
      </c>
      <c r="C98" t="s">
        <v>20</v>
      </c>
      <c r="D98" t="s">
        <v>51</v>
      </c>
      <c r="E98" t="s">
        <v>50</v>
      </c>
      <c r="F98" t="s">
        <v>143</v>
      </c>
      <c r="G98" s="1" t="s">
        <v>144</v>
      </c>
      <c r="H98" s="1" t="s">
        <v>145</v>
      </c>
      <c r="I98" s="1" t="s">
        <v>417</v>
      </c>
      <c r="J98" t="s">
        <v>418</v>
      </c>
      <c r="K98">
        <v>29</v>
      </c>
      <c r="L98">
        <v>0</v>
      </c>
      <c r="M98">
        <v>1</v>
      </c>
      <c r="N98" s="11">
        <v>-3.4483E-2</v>
      </c>
      <c r="O98" s="11">
        <v>-1.9E-2</v>
      </c>
      <c r="P98">
        <v>20260719</v>
      </c>
      <c r="Q98">
        <v>46222.653275462966</v>
      </c>
    </row>
    <row r="99" spans="1:17" ht="45">
      <c r="A99" t="s">
        <v>419</v>
      </c>
      <c r="B99" t="s">
        <v>149</v>
      </c>
      <c r="C99" t="s">
        <v>20</v>
      </c>
      <c r="D99" t="s">
        <v>51</v>
      </c>
      <c r="E99" t="s">
        <v>50</v>
      </c>
      <c r="F99" t="s">
        <v>143</v>
      </c>
      <c r="G99" s="1" t="s">
        <v>150</v>
      </c>
      <c r="H99" s="1" t="s">
        <v>151</v>
      </c>
      <c r="I99" s="1" t="s">
        <v>420</v>
      </c>
      <c r="J99" t="s">
        <v>418</v>
      </c>
      <c r="K99">
        <v>30</v>
      </c>
      <c r="L99">
        <v>0</v>
      </c>
      <c r="M99">
        <v>1</v>
      </c>
      <c r="N99" s="11">
        <v>-3.3333000000000002E-2</v>
      </c>
      <c r="O99" s="11">
        <v>-1.9E-2</v>
      </c>
      <c r="P99">
        <v>20260719</v>
      </c>
      <c r="Q99">
        <v>46222.653275462966</v>
      </c>
    </row>
    <row r="100" spans="1:17" ht="30">
      <c r="A100" t="s">
        <v>421</v>
      </c>
      <c r="B100" t="s">
        <v>154</v>
      </c>
      <c r="C100" t="s">
        <v>20</v>
      </c>
      <c r="D100" t="s">
        <v>51</v>
      </c>
      <c r="E100" t="s">
        <v>50</v>
      </c>
      <c r="F100" t="s">
        <v>143</v>
      </c>
      <c r="G100" s="1" t="s">
        <v>155</v>
      </c>
      <c r="H100" s="1" t="s">
        <v>156</v>
      </c>
      <c r="I100" s="1" t="s">
        <v>422</v>
      </c>
      <c r="J100" t="s">
        <v>418</v>
      </c>
      <c r="K100">
        <v>25</v>
      </c>
      <c r="L100">
        <v>0</v>
      </c>
      <c r="M100">
        <v>1</v>
      </c>
      <c r="N100" s="11">
        <v>-0.04</v>
      </c>
      <c r="O100" s="11">
        <v>-1.9E-2</v>
      </c>
      <c r="P100">
        <v>20260719</v>
      </c>
      <c r="Q100">
        <v>46222.653275462966</v>
      </c>
    </row>
    <row r="101" spans="1:17" ht="30">
      <c r="A101" t="s">
        <v>423</v>
      </c>
      <c r="B101" t="s">
        <v>160</v>
      </c>
      <c r="C101" t="s">
        <v>20</v>
      </c>
      <c r="D101" t="s">
        <v>51</v>
      </c>
      <c r="E101" t="s">
        <v>50</v>
      </c>
      <c r="F101" t="s">
        <v>143</v>
      </c>
      <c r="G101" s="1" t="s">
        <v>161</v>
      </c>
      <c r="H101" s="1" t="s">
        <v>162</v>
      </c>
      <c r="I101" s="1" t="s">
        <v>424</v>
      </c>
      <c r="J101" t="s">
        <v>418</v>
      </c>
      <c r="K101">
        <v>29</v>
      </c>
      <c r="L101">
        <v>0</v>
      </c>
      <c r="M101">
        <v>1</v>
      </c>
      <c r="N101" s="11">
        <v>-3.4483E-2</v>
      </c>
      <c r="O101" s="11">
        <v>-1.9E-2</v>
      </c>
      <c r="P101">
        <v>20260719</v>
      </c>
      <c r="Q101">
        <v>46222.653275462966</v>
      </c>
    </row>
    <row r="102" spans="1:17" ht="45">
      <c r="A102" t="s">
        <v>425</v>
      </c>
      <c r="B102" t="s">
        <v>165</v>
      </c>
      <c r="C102" t="s">
        <v>20</v>
      </c>
      <c r="D102" t="s">
        <v>51</v>
      </c>
      <c r="E102" t="s">
        <v>50</v>
      </c>
      <c r="F102" t="s">
        <v>166</v>
      </c>
      <c r="G102" s="1" t="s">
        <v>167</v>
      </c>
      <c r="H102" s="1" t="s">
        <v>168</v>
      </c>
      <c r="I102" s="1" t="s">
        <v>426</v>
      </c>
      <c r="J102" t="s">
        <v>418</v>
      </c>
      <c r="K102">
        <v>30</v>
      </c>
      <c r="L102">
        <v>0</v>
      </c>
      <c r="M102">
        <v>1</v>
      </c>
      <c r="N102" s="11">
        <v>-3.3333000000000002E-2</v>
      </c>
      <c r="O102" s="11">
        <v>-1.9E-2</v>
      </c>
      <c r="P102">
        <v>20260719</v>
      </c>
      <c r="Q102">
        <v>46222.653275462966</v>
      </c>
    </row>
    <row r="103" spans="1:17" ht="45">
      <c r="A103" t="s">
        <v>427</v>
      </c>
      <c r="B103" t="s">
        <v>171</v>
      </c>
      <c r="C103" t="s">
        <v>20</v>
      </c>
      <c r="D103" t="s">
        <v>51</v>
      </c>
      <c r="E103" t="s">
        <v>50</v>
      </c>
      <c r="F103" t="s">
        <v>166</v>
      </c>
      <c r="G103" s="1" t="s">
        <v>172</v>
      </c>
      <c r="H103" s="1" t="s">
        <v>173</v>
      </c>
      <c r="I103" s="1" t="s">
        <v>428</v>
      </c>
      <c r="J103" t="s">
        <v>418</v>
      </c>
      <c r="K103">
        <v>29</v>
      </c>
      <c r="L103">
        <v>0</v>
      </c>
      <c r="M103">
        <v>1</v>
      </c>
      <c r="N103" s="11">
        <v>-3.4483E-2</v>
      </c>
      <c r="O103" s="11">
        <v>-1.9E-2</v>
      </c>
      <c r="P103">
        <v>20260719</v>
      </c>
      <c r="Q103">
        <v>46222.653275462966</v>
      </c>
    </row>
    <row r="104" spans="1:17" ht="45">
      <c r="A104" t="s">
        <v>429</v>
      </c>
      <c r="B104" t="s">
        <v>176</v>
      </c>
      <c r="C104" t="s">
        <v>20</v>
      </c>
      <c r="D104" t="s">
        <v>51</v>
      </c>
      <c r="E104" t="s">
        <v>50</v>
      </c>
      <c r="F104" t="s">
        <v>166</v>
      </c>
      <c r="G104" s="1" t="s">
        <v>177</v>
      </c>
      <c r="H104" s="1" t="s">
        <v>178</v>
      </c>
      <c r="I104" s="1" t="s">
        <v>430</v>
      </c>
      <c r="J104" t="s">
        <v>418</v>
      </c>
      <c r="K104">
        <v>29</v>
      </c>
      <c r="L104">
        <v>0</v>
      </c>
      <c r="M104">
        <v>1</v>
      </c>
      <c r="N104" s="11">
        <v>-3.4483E-2</v>
      </c>
      <c r="O104" s="11">
        <v>-1.9E-2</v>
      </c>
      <c r="P104">
        <v>20260719</v>
      </c>
      <c r="Q104">
        <v>46222.653275462966</v>
      </c>
    </row>
    <row r="105" spans="1:17" ht="45">
      <c r="A105" t="s">
        <v>431</v>
      </c>
      <c r="B105" t="s">
        <v>181</v>
      </c>
      <c r="C105" t="s">
        <v>20</v>
      </c>
      <c r="D105" t="s">
        <v>51</v>
      </c>
      <c r="E105" t="s">
        <v>50</v>
      </c>
      <c r="F105" t="s">
        <v>166</v>
      </c>
      <c r="G105" s="1" t="s">
        <v>182</v>
      </c>
      <c r="H105" s="1" t="s">
        <v>183</v>
      </c>
      <c r="I105" s="1" t="s">
        <v>432</v>
      </c>
      <c r="J105" t="s">
        <v>418</v>
      </c>
      <c r="K105">
        <v>28</v>
      </c>
      <c r="L105">
        <v>0</v>
      </c>
      <c r="M105">
        <v>1</v>
      </c>
      <c r="N105" s="11">
        <v>-3.5714000000000003E-2</v>
      </c>
      <c r="O105" s="11">
        <v>-1.9E-2</v>
      </c>
      <c r="P105">
        <v>20260719</v>
      </c>
      <c r="Q105">
        <v>46222.653275462966</v>
      </c>
    </row>
    <row r="106" spans="1:17" ht="30">
      <c r="A106" t="s">
        <v>433</v>
      </c>
      <c r="B106" t="s">
        <v>186</v>
      </c>
      <c r="C106" t="s">
        <v>20</v>
      </c>
      <c r="D106" t="s">
        <v>51</v>
      </c>
      <c r="E106" t="s">
        <v>50</v>
      </c>
      <c r="F106" t="s">
        <v>187</v>
      </c>
      <c r="G106" s="1" t="s">
        <v>188</v>
      </c>
      <c r="H106" s="1" t="s">
        <v>189</v>
      </c>
      <c r="I106" s="1" t="s">
        <v>434</v>
      </c>
      <c r="J106" t="s">
        <v>418</v>
      </c>
      <c r="K106">
        <v>34</v>
      </c>
      <c r="L106">
        <v>0</v>
      </c>
      <c r="M106">
        <v>1</v>
      </c>
      <c r="N106" s="11">
        <v>-2.9412000000000001E-2</v>
      </c>
      <c r="O106" s="11">
        <v>-1.9E-2</v>
      </c>
      <c r="P106">
        <v>20260719</v>
      </c>
      <c r="Q106">
        <v>46222.653275462966</v>
      </c>
    </row>
    <row r="107" spans="1:17" ht="30">
      <c r="A107" t="s">
        <v>435</v>
      </c>
      <c r="B107" t="s">
        <v>192</v>
      </c>
      <c r="C107" t="s">
        <v>20</v>
      </c>
      <c r="D107" t="s">
        <v>51</v>
      </c>
      <c r="E107" t="s">
        <v>50</v>
      </c>
      <c r="F107" t="s">
        <v>187</v>
      </c>
      <c r="G107" s="1" t="s">
        <v>193</v>
      </c>
      <c r="H107" s="1" t="s">
        <v>194</v>
      </c>
      <c r="I107" s="1" t="s">
        <v>436</v>
      </c>
      <c r="J107" t="s">
        <v>418</v>
      </c>
      <c r="K107">
        <v>26</v>
      </c>
      <c r="L107">
        <v>0</v>
      </c>
      <c r="M107">
        <v>1</v>
      </c>
      <c r="N107" s="11">
        <v>-3.8462000000000003E-2</v>
      </c>
      <c r="O107" s="11">
        <v>-1.9E-2</v>
      </c>
      <c r="P107">
        <v>20260719</v>
      </c>
      <c r="Q107">
        <v>46222.653275462966</v>
      </c>
    </row>
    <row r="108" spans="1:17" ht="45">
      <c r="A108" t="s">
        <v>437</v>
      </c>
      <c r="B108" t="s">
        <v>197</v>
      </c>
      <c r="C108" t="s">
        <v>20</v>
      </c>
      <c r="D108" t="s">
        <v>51</v>
      </c>
      <c r="E108" t="s">
        <v>50</v>
      </c>
      <c r="F108" t="s">
        <v>187</v>
      </c>
      <c r="G108" s="1" t="s">
        <v>198</v>
      </c>
      <c r="H108" s="1" t="s">
        <v>199</v>
      </c>
      <c r="I108" s="1" t="s">
        <v>438</v>
      </c>
      <c r="J108" t="s">
        <v>418</v>
      </c>
      <c r="K108">
        <v>30</v>
      </c>
      <c r="L108">
        <v>0</v>
      </c>
      <c r="M108">
        <v>1</v>
      </c>
      <c r="N108" s="11">
        <v>-3.3333000000000002E-2</v>
      </c>
      <c r="O108" s="11">
        <v>-1.9E-2</v>
      </c>
      <c r="P108">
        <v>20260719</v>
      </c>
      <c r="Q108">
        <v>46222.653275462966</v>
      </c>
    </row>
    <row r="109" spans="1:17" ht="45">
      <c r="A109" t="s">
        <v>439</v>
      </c>
      <c r="B109" t="s">
        <v>202</v>
      </c>
      <c r="C109" t="s">
        <v>20</v>
      </c>
      <c r="D109" t="s">
        <v>51</v>
      </c>
      <c r="E109" t="s">
        <v>50</v>
      </c>
      <c r="F109" t="s">
        <v>187</v>
      </c>
      <c r="G109" s="1" t="s">
        <v>203</v>
      </c>
      <c r="H109" s="1" t="s">
        <v>204</v>
      </c>
      <c r="I109" s="1" t="s">
        <v>440</v>
      </c>
      <c r="J109" t="s">
        <v>418</v>
      </c>
      <c r="K109">
        <v>30</v>
      </c>
      <c r="L109">
        <v>0</v>
      </c>
      <c r="M109">
        <v>1</v>
      </c>
      <c r="N109" s="11">
        <v>-3.3333000000000002E-2</v>
      </c>
      <c r="O109" s="11">
        <v>-1.9E-2</v>
      </c>
      <c r="P109">
        <v>20260719</v>
      </c>
      <c r="Q109">
        <v>46222.653275462966</v>
      </c>
    </row>
    <row r="110" spans="1:17" ht="45">
      <c r="A110" t="s">
        <v>441</v>
      </c>
      <c r="B110" t="s">
        <v>207</v>
      </c>
      <c r="C110" t="s">
        <v>20</v>
      </c>
      <c r="D110" t="s">
        <v>51</v>
      </c>
      <c r="E110" t="s">
        <v>50</v>
      </c>
      <c r="F110" t="s">
        <v>208</v>
      </c>
      <c r="G110" s="1" t="s">
        <v>209</v>
      </c>
      <c r="H110" s="1" t="s">
        <v>210</v>
      </c>
      <c r="I110" s="1" t="s">
        <v>442</v>
      </c>
      <c r="J110" t="s">
        <v>418</v>
      </c>
      <c r="K110">
        <v>32</v>
      </c>
      <c r="L110">
        <v>0</v>
      </c>
      <c r="M110">
        <v>1</v>
      </c>
      <c r="N110" s="11">
        <v>-3.125E-2</v>
      </c>
      <c r="O110" s="11">
        <v>-1.9E-2</v>
      </c>
      <c r="P110">
        <v>20260719</v>
      </c>
      <c r="Q110">
        <v>46222.653275462966</v>
      </c>
    </row>
    <row r="111" spans="1:17" ht="30">
      <c r="A111" t="s">
        <v>443</v>
      </c>
      <c r="B111" t="s">
        <v>213</v>
      </c>
      <c r="C111" t="s">
        <v>20</v>
      </c>
      <c r="D111" t="s">
        <v>51</v>
      </c>
      <c r="E111" t="s">
        <v>50</v>
      </c>
      <c r="F111" t="s">
        <v>208</v>
      </c>
      <c r="G111" s="1" t="s">
        <v>214</v>
      </c>
      <c r="H111" s="1" t="s">
        <v>215</v>
      </c>
      <c r="I111" s="1" t="s">
        <v>444</v>
      </c>
      <c r="J111" t="s">
        <v>418</v>
      </c>
      <c r="K111">
        <v>28</v>
      </c>
      <c r="L111">
        <v>0</v>
      </c>
      <c r="M111">
        <v>1</v>
      </c>
      <c r="N111" s="11">
        <v>-3.5714000000000003E-2</v>
      </c>
      <c r="O111" s="11">
        <v>-1.9E-2</v>
      </c>
      <c r="P111">
        <v>20260719</v>
      </c>
      <c r="Q111">
        <v>46222.653275462966</v>
      </c>
    </row>
    <row r="112" spans="1:17" ht="30">
      <c r="A112" t="s">
        <v>445</v>
      </c>
      <c r="B112" t="s">
        <v>218</v>
      </c>
      <c r="C112" t="s">
        <v>20</v>
      </c>
      <c r="D112" t="s">
        <v>51</v>
      </c>
      <c r="E112" t="s">
        <v>50</v>
      </c>
      <c r="F112" t="s">
        <v>208</v>
      </c>
      <c r="G112" s="1" t="s">
        <v>219</v>
      </c>
      <c r="H112" s="1" t="s">
        <v>220</v>
      </c>
      <c r="I112" s="1" t="s">
        <v>446</v>
      </c>
      <c r="J112" t="s">
        <v>447</v>
      </c>
      <c r="K112">
        <v>25</v>
      </c>
      <c r="L112">
        <v>1</v>
      </c>
      <c r="M112">
        <v>1</v>
      </c>
      <c r="N112" s="11">
        <v>0</v>
      </c>
      <c r="O112" s="11">
        <v>-1.9E-2</v>
      </c>
      <c r="P112">
        <v>20260719</v>
      </c>
      <c r="Q112">
        <v>46222.653275462966</v>
      </c>
    </row>
    <row r="113" spans="1:17" ht="30">
      <c r="A113" t="s">
        <v>448</v>
      </c>
      <c r="B113" t="s">
        <v>223</v>
      </c>
      <c r="C113" t="s">
        <v>20</v>
      </c>
      <c r="D113" t="s">
        <v>51</v>
      </c>
      <c r="E113" t="s">
        <v>50</v>
      </c>
      <c r="F113" t="s">
        <v>208</v>
      </c>
      <c r="G113" s="1" t="s">
        <v>224</v>
      </c>
      <c r="H113" s="1" t="s">
        <v>225</v>
      </c>
      <c r="I113" s="1" t="s">
        <v>449</v>
      </c>
      <c r="J113" t="s">
        <v>447</v>
      </c>
      <c r="K113">
        <v>28</v>
      </c>
      <c r="L113">
        <v>1</v>
      </c>
      <c r="M113">
        <v>1</v>
      </c>
      <c r="N113" s="11">
        <v>0</v>
      </c>
      <c r="O113" s="11">
        <v>-1.9E-2</v>
      </c>
      <c r="P113">
        <v>20260719</v>
      </c>
      <c r="Q113">
        <v>46222.653275462966</v>
      </c>
    </row>
    <row r="114" spans="1:17" ht="30">
      <c r="A114" t="s">
        <v>450</v>
      </c>
      <c r="B114" t="s">
        <v>228</v>
      </c>
      <c r="C114" t="s">
        <v>20</v>
      </c>
      <c r="D114" t="s">
        <v>51</v>
      </c>
      <c r="E114" t="s">
        <v>50</v>
      </c>
      <c r="F114" t="s">
        <v>229</v>
      </c>
      <c r="G114" s="1" t="s">
        <v>230</v>
      </c>
      <c r="H114" s="1" t="s">
        <v>231</v>
      </c>
      <c r="I114" s="1" t="s">
        <v>451</v>
      </c>
      <c r="J114" t="s">
        <v>447</v>
      </c>
      <c r="K114">
        <v>24</v>
      </c>
      <c r="L114">
        <v>1</v>
      </c>
      <c r="M114">
        <v>1</v>
      </c>
      <c r="N114" s="11">
        <v>0</v>
      </c>
      <c r="O114" s="11">
        <v>-1.9E-2</v>
      </c>
      <c r="P114">
        <v>20260719</v>
      </c>
      <c r="Q114">
        <v>46222.653275462966</v>
      </c>
    </row>
    <row r="115" spans="1:17" ht="30">
      <c r="A115" t="s">
        <v>452</v>
      </c>
      <c r="B115" t="s">
        <v>234</v>
      </c>
      <c r="C115" t="s">
        <v>20</v>
      </c>
      <c r="D115" t="s">
        <v>51</v>
      </c>
      <c r="E115" t="s">
        <v>50</v>
      </c>
      <c r="F115" t="s">
        <v>229</v>
      </c>
      <c r="G115" s="1" t="s">
        <v>235</v>
      </c>
      <c r="H115" s="1" t="s">
        <v>236</v>
      </c>
      <c r="I115" s="1" t="s">
        <v>453</v>
      </c>
      <c r="J115" t="s">
        <v>447</v>
      </c>
      <c r="K115">
        <v>30</v>
      </c>
      <c r="L115">
        <v>1</v>
      </c>
      <c r="M115">
        <v>1</v>
      </c>
      <c r="N115" s="11">
        <v>0</v>
      </c>
      <c r="O115" s="11">
        <v>-1.9E-2</v>
      </c>
      <c r="P115">
        <v>20260719</v>
      </c>
      <c r="Q115">
        <v>46222.653275462966</v>
      </c>
    </row>
    <row r="116" spans="1:17" ht="30">
      <c r="A116" t="s">
        <v>454</v>
      </c>
      <c r="B116" t="s">
        <v>239</v>
      </c>
      <c r="C116" t="s">
        <v>20</v>
      </c>
      <c r="D116" t="s">
        <v>51</v>
      </c>
      <c r="E116" t="s">
        <v>50</v>
      </c>
      <c r="F116" t="s">
        <v>229</v>
      </c>
      <c r="G116" s="1" t="s">
        <v>240</v>
      </c>
      <c r="H116" s="1" t="s">
        <v>241</v>
      </c>
      <c r="I116" s="1" t="s">
        <v>455</v>
      </c>
      <c r="J116" t="s">
        <v>456</v>
      </c>
      <c r="K116">
        <v>29</v>
      </c>
      <c r="L116">
        <v>0</v>
      </c>
      <c r="M116">
        <v>0</v>
      </c>
      <c r="N116" s="11">
        <v>0</v>
      </c>
      <c r="O116" s="11">
        <v>-1.9E-2</v>
      </c>
      <c r="P116">
        <v>20260719</v>
      </c>
      <c r="Q116">
        <v>46222.653275462966</v>
      </c>
    </row>
    <row r="117" spans="1:17" ht="30">
      <c r="A117" t="s">
        <v>457</v>
      </c>
      <c r="B117" t="s">
        <v>244</v>
      </c>
      <c r="C117" t="s">
        <v>20</v>
      </c>
      <c r="D117" t="s">
        <v>51</v>
      </c>
      <c r="E117" t="s">
        <v>50</v>
      </c>
      <c r="F117" t="s">
        <v>229</v>
      </c>
      <c r="G117" s="1" t="s">
        <v>245</v>
      </c>
      <c r="H117" s="1" t="s">
        <v>246</v>
      </c>
      <c r="I117" s="1" t="s">
        <v>458</v>
      </c>
      <c r="J117" t="s">
        <v>456</v>
      </c>
      <c r="K117">
        <v>25</v>
      </c>
      <c r="L117">
        <v>0</v>
      </c>
      <c r="M117">
        <v>0</v>
      </c>
      <c r="N117" s="11">
        <v>0</v>
      </c>
      <c r="O117" s="11">
        <v>-1.9E-2</v>
      </c>
      <c r="P117">
        <v>20260719</v>
      </c>
      <c r="Q117">
        <v>46222.653275462966</v>
      </c>
    </row>
    <row r="118" spans="1:17" ht="30">
      <c r="A118" t="s">
        <v>459</v>
      </c>
      <c r="B118" t="s">
        <v>249</v>
      </c>
      <c r="C118" t="s">
        <v>20</v>
      </c>
      <c r="D118" t="s">
        <v>51</v>
      </c>
      <c r="E118" t="s">
        <v>50</v>
      </c>
      <c r="F118" t="s">
        <v>250</v>
      </c>
      <c r="G118" s="1" t="s">
        <v>251</v>
      </c>
      <c r="H118" s="1" t="s">
        <v>252</v>
      </c>
      <c r="I118" s="1" t="s">
        <v>460</v>
      </c>
      <c r="J118" t="s">
        <v>456</v>
      </c>
      <c r="K118">
        <v>25</v>
      </c>
      <c r="L118">
        <v>0</v>
      </c>
      <c r="M118">
        <v>0</v>
      </c>
      <c r="N118" s="11">
        <v>0</v>
      </c>
      <c r="O118" s="11">
        <v>-1.9E-2</v>
      </c>
      <c r="P118">
        <v>20260719</v>
      </c>
      <c r="Q118">
        <v>46222.653275462966</v>
      </c>
    </row>
    <row r="119" spans="1:17" ht="30">
      <c r="A119" t="s">
        <v>461</v>
      </c>
      <c r="B119" t="s">
        <v>255</v>
      </c>
      <c r="C119" t="s">
        <v>20</v>
      </c>
      <c r="D119" t="s">
        <v>51</v>
      </c>
      <c r="E119" t="s">
        <v>50</v>
      </c>
      <c r="F119" t="s">
        <v>250</v>
      </c>
      <c r="G119" s="1" t="s">
        <v>256</v>
      </c>
      <c r="H119" s="1" t="s">
        <v>257</v>
      </c>
      <c r="I119" s="1" t="s">
        <v>462</v>
      </c>
      <c r="J119" t="s">
        <v>456</v>
      </c>
      <c r="K119">
        <v>30</v>
      </c>
      <c r="L119">
        <v>0</v>
      </c>
      <c r="M119">
        <v>0</v>
      </c>
      <c r="N119" s="11">
        <v>0</v>
      </c>
      <c r="O119" s="11">
        <v>-1.9E-2</v>
      </c>
      <c r="P119">
        <v>20260719</v>
      </c>
      <c r="Q119">
        <v>46222.653275462966</v>
      </c>
    </row>
    <row r="120" spans="1:17" ht="30">
      <c r="A120" t="s">
        <v>463</v>
      </c>
      <c r="B120" t="s">
        <v>260</v>
      </c>
      <c r="C120" t="s">
        <v>20</v>
      </c>
      <c r="D120" t="s">
        <v>51</v>
      </c>
      <c r="E120" t="s">
        <v>50</v>
      </c>
      <c r="F120" t="s">
        <v>250</v>
      </c>
      <c r="G120" s="1" t="s">
        <v>261</v>
      </c>
      <c r="H120" s="1" t="s">
        <v>262</v>
      </c>
      <c r="I120" s="1" t="s">
        <v>464</v>
      </c>
      <c r="J120" t="s">
        <v>456</v>
      </c>
      <c r="K120">
        <v>24</v>
      </c>
      <c r="L120">
        <v>0</v>
      </c>
      <c r="M120">
        <v>0</v>
      </c>
      <c r="N120" s="11">
        <v>0</v>
      </c>
      <c r="O120" s="11">
        <v>-1.9E-2</v>
      </c>
      <c r="P120">
        <v>20260719</v>
      </c>
      <c r="Q120">
        <v>46222.653275462966</v>
      </c>
    </row>
    <row r="121" spans="1:17" ht="45">
      <c r="A121" t="s">
        <v>465</v>
      </c>
      <c r="B121" t="s">
        <v>265</v>
      </c>
      <c r="C121" t="s">
        <v>20</v>
      </c>
      <c r="D121" t="s">
        <v>51</v>
      </c>
      <c r="E121" t="s">
        <v>50</v>
      </c>
      <c r="F121" t="s">
        <v>250</v>
      </c>
      <c r="G121" s="1" t="s">
        <v>266</v>
      </c>
      <c r="H121" s="1" t="s">
        <v>267</v>
      </c>
      <c r="I121" s="1" t="s">
        <v>466</v>
      </c>
      <c r="J121" t="s">
        <v>456</v>
      </c>
      <c r="K121">
        <v>30</v>
      </c>
      <c r="L121">
        <v>0</v>
      </c>
      <c r="M121">
        <v>0</v>
      </c>
      <c r="N121" s="11">
        <v>0</v>
      </c>
      <c r="O121" s="11">
        <v>-1.9E-2</v>
      </c>
      <c r="P121">
        <v>20260719</v>
      </c>
      <c r="Q121">
        <v>46222.653275462966</v>
      </c>
    </row>
    <row r="122" spans="1:17" ht="45">
      <c r="A122" t="s">
        <v>467</v>
      </c>
      <c r="B122" t="s">
        <v>142</v>
      </c>
      <c r="C122" t="s">
        <v>21</v>
      </c>
      <c r="D122" t="s">
        <v>52</v>
      </c>
      <c r="E122" t="s">
        <v>50</v>
      </c>
      <c r="F122" t="s">
        <v>143</v>
      </c>
      <c r="G122" s="1" t="s">
        <v>144</v>
      </c>
      <c r="H122" s="1" t="s">
        <v>145</v>
      </c>
      <c r="I122" s="1" t="s">
        <v>417</v>
      </c>
      <c r="J122" t="s">
        <v>418</v>
      </c>
      <c r="K122">
        <v>29</v>
      </c>
      <c r="L122">
        <v>0</v>
      </c>
      <c r="M122">
        <v>1</v>
      </c>
      <c r="N122" s="11">
        <v>-3.4483E-2</v>
      </c>
      <c r="O122" s="11">
        <v>-6.0000000000000001E-3</v>
      </c>
      <c r="P122">
        <v>20260719</v>
      </c>
      <c r="Q122">
        <v>46222.653275462966</v>
      </c>
    </row>
    <row r="123" spans="1:17" ht="45">
      <c r="A123" t="s">
        <v>468</v>
      </c>
      <c r="B123" t="s">
        <v>149</v>
      </c>
      <c r="C123" t="s">
        <v>21</v>
      </c>
      <c r="D123" t="s">
        <v>52</v>
      </c>
      <c r="E123" t="s">
        <v>50</v>
      </c>
      <c r="F123" t="s">
        <v>143</v>
      </c>
      <c r="G123" s="1" t="s">
        <v>150</v>
      </c>
      <c r="H123" s="1" t="s">
        <v>151</v>
      </c>
      <c r="I123" s="1" t="s">
        <v>420</v>
      </c>
      <c r="J123" t="s">
        <v>418</v>
      </c>
      <c r="K123">
        <v>30</v>
      </c>
      <c r="L123">
        <v>0</v>
      </c>
      <c r="M123">
        <v>1</v>
      </c>
      <c r="N123" s="11">
        <v>-3.3333000000000002E-2</v>
      </c>
      <c r="O123" s="11">
        <v>-6.0000000000000001E-3</v>
      </c>
      <c r="P123">
        <v>20260719</v>
      </c>
      <c r="Q123">
        <v>46222.653275462966</v>
      </c>
    </row>
    <row r="124" spans="1:17" ht="30">
      <c r="A124" t="s">
        <v>469</v>
      </c>
      <c r="B124" t="s">
        <v>154</v>
      </c>
      <c r="C124" t="s">
        <v>21</v>
      </c>
      <c r="D124" t="s">
        <v>52</v>
      </c>
      <c r="E124" t="s">
        <v>50</v>
      </c>
      <c r="F124" t="s">
        <v>143</v>
      </c>
      <c r="G124" s="1" t="s">
        <v>155</v>
      </c>
      <c r="H124" s="1" t="s">
        <v>156</v>
      </c>
      <c r="I124" s="1" t="s">
        <v>422</v>
      </c>
      <c r="J124" t="s">
        <v>418</v>
      </c>
      <c r="K124">
        <v>25</v>
      </c>
      <c r="L124">
        <v>0</v>
      </c>
      <c r="M124">
        <v>1</v>
      </c>
      <c r="N124" s="11">
        <v>-0.04</v>
      </c>
      <c r="O124" s="11">
        <v>-6.0000000000000001E-3</v>
      </c>
      <c r="P124">
        <v>20260719</v>
      </c>
      <c r="Q124">
        <v>46222.653275462966</v>
      </c>
    </row>
    <row r="125" spans="1:17" ht="30">
      <c r="A125" t="s">
        <v>470</v>
      </c>
      <c r="B125" t="s">
        <v>160</v>
      </c>
      <c r="C125" t="s">
        <v>21</v>
      </c>
      <c r="D125" t="s">
        <v>52</v>
      </c>
      <c r="E125" t="s">
        <v>50</v>
      </c>
      <c r="F125" t="s">
        <v>143</v>
      </c>
      <c r="G125" s="1" t="s">
        <v>161</v>
      </c>
      <c r="H125" s="1" t="s">
        <v>162</v>
      </c>
      <c r="I125" s="1" t="s">
        <v>424</v>
      </c>
      <c r="J125" t="s">
        <v>418</v>
      </c>
      <c r="K125">
        <v>29</v>
      </c>
      <c r="L125">
        <v>0</v>
      </c>
      <c r="M125">
        <v>1</v>
      </c>
      <c r="N125" s="11">
        <v>-3.4483E-2</v>
      </c>
      <c r="O125" s="11">
        <v>-6.0000000000000001E-3</v>
      </c>
      <c r="P125">
        <v>20260719</v>
      </c>
      <c r="Q125">
        <v>46222.653275462966</v>
      </c>
    </row>
    <row r="126" spans="1:17" ht="45">
      <c r="A126" t="s">
        <v>471</v>
      </c>
      <c r="B126" t="s">
        <v>165</v>
      </c>
      <c r="C126" t="s">
        <v>21</v>
      </c>
      <c r="D126" t="s">
        <v>52</v>
      </c>
      <c r="E126" t="s">
        <v>50</v>
      </c>
      <c r="F126" t="s">
        <v>166</v>
      </c>
      <c r="G126" s="1" t="s">
        <v>167</v>
      </c>
      <c r="H126" s="1" t="s">
        <v>168</v>
      </c>
      <c r="I126" s="1" t="s">
        <v>426</v>
      </c>
      <c r="J126" t="s">
        <v>418</v>
      </c>
      <c r="K126">
        <v>30</v>
      </c>
      <c r="L126">
        <v>0</v>
      </c>
      <c r="M126">
        <v>1</v>
      </c>
      <c r="N126" s="11">
        <v>-3.3333000000000002E-2</v>
      </c>
      <c r="O126" s="11">
        <v>-6.0000000000000001E-3</v>
      </c>
      <c r="P126">
        <v>20260719</v>
      </c>
      <c r="Q126">
        <v>46222.653275462966</v>
      </c>
    </row>
    <row r="127" spans="1:17" ht="45">
      <c r="A127" t="s">
        <v>472</v>
      </c>
      <c r="B127" t="s">
        <v>171</v>
      </c>
      <c r="C127" t="s">
        <v>21</v>
      </c>
      <c r="D127" t="s">
        <v>52</v>
      </c>
      <c r="E127" t="s">
        <v>50</v>
      </c>
      <c r="F127" t="s">
        <v>166</v>
      </c>
      <c r="G127" s="1" t="s">
        <v>172</v>
      </c>
      <c r="H127" s="1" t="s">
        <v>173</v>
      </c>
      <c r="I127" s="1" t="s">
        <v>428</v>
      </c>
      <c r="J127" t="s">
        <v>418</v>
      </c>
      <c r="K127">
        <v>29</v>
      </c>
      <c r="L127">
        <v>0</v>
      </c>
      <c r="M127">
        <v>1</v>
      </c>
      <c r="N127" s="11">
        <v>-3.4483E-2</v>
      </c>
      <c r="O127" s="11">
        <v>-6.0000000000000001E-3</v>
      </c>
      <c r="P127">
        <v>20260719</v>
      </c>
      <c r="Q127">
        <v>46222.653275462966</v>
      </c>
    </row>
    <row r="128" spans="1:17" ht="45">
      <c r="A128" t="s">
        <v>473</v>
      </c>
      <c r="B128" t="s">
        <v>176</v>
      </c>
      <c r="C128" t="s">
        <v>21</v>
      </c>
      <c r="D128" t="s">
        <v>52</v>
      </c>
      <c r="E128" t="s">
        <v>50</v>
      </c>
      <c r="F128" t="s">
        <v>166</v>
      </c>
      <c r="G128" s="1" t="s">
        <v>177</v>
      </c>
      <c r="H128" s="1" t="s">
        <v>178</v>
      </c>
      <c r="I128" s="1" t="s">
        <v>474</v>
      </c>
      <c r="J128" t="s">
        <v>475</v>
      </c>
      <c r="K128">
        <v>29</v>
      </c>
      <c r="L128">
        <v>1</v>
      </c>
      <c r="M128">
        <v>0</v>
      </c>
      <c r="N128" s="11">
        <v>3.4483E-2</v>
      </c>
      <c r="O128" s="11">
        <v>-6.0000000000000001E-3</v>
      </c>
      <c r="P128">
        <v>20260719</v>
      </c>
      <c r="Q128">
        <v>46222.653275462966</v>
      </c>
    </row>
    <row r="129" spans="1:17" ht="45">
      <c r="A129" t="s">
        <v>476</v>
      </c>
      <c r="B129" t="s">
        <v>181</v>
      </c>
      <c r="C129" t="s">
        <v>21</v>
      </c>
      <c r="D129" t="s">
        <v>52</v>
      </c>
      <c r="E129" t="s">
        <v>50</v>
      </c>
      <c r="F129" t="s">
        <v>166</v>
      </c>
      <c r="G129" s="1" t="s">
        <v>182</v>
      </c>
      <c r="H129" s="1" t="s">
        <v>183</v>
      </c>
      <c r="I129" s="1" t="s">
        <v>477</v>
      </c>
      <c r="J129" t="s">
        <v>475</v>
      </c>
      <c r="K129">
        <v>28</v>
      </c>
      <c r="L129">
        <v>1</v>
      </c>
      <c r="M129">
        <v>0</v>
      </c>
      <c r="N129" s="11">
        <v>3.5714000000000003E-2</v>
      </c>
      <c r="O129" s="11">
        <v>-6.0000000000000001E-3</v>
      </c>
      <c r="P129">
        <v>20260719</v>
      </c>
      <c r="Q129">
        <v>46222.653275462966</v>
      </c>
    </row>
    <row r="130" spans="1:17" ht="30">
      <c r="A130" t="s">
        <v>478</v>
      </c>
      <c r="B130" t="s">
        <v>186</v>
      </c>
      <c r="C130" t="s">
        <v>21</v>
      </c>
      <c r="D130" t="s">
        <v>52</v>
      </c>
      <c r="E130" t="s">
        <v>50</v>
      </c>
      <c r="F130" t="s">
        <v>187</v>
      </c>
      <c r="G130" s="1" t="s">
        <v>188</v>
      </c>
      <c r="H130" s="1" t="s">
        <v>189</v>
      </c>
      <c r="I130" s="1" t="s">
        <v>479</v>
      </c>
      <c r="J130" t="s">
        <v>447</v>
      </c>
      <c r="K130">
        <v>31</v>
      </c>
      <c r="L130">
        <v>1</v>
      </c>
      <c r="M130">
        <v>1</v>
      </c>
      <c r="N130" s="11">
        <v>0</v>
      </c>
      <c r="O130" s="11">
        <v>-6.0000000000000001E-3</v>
      </c>
      <c r="P130">
        <v>20260719</v>
      </c>
      <c r="Q130">
        <v>46222.653275462966</v>
      </c>
    </row>
    <row r="131" spans="1:17" ht="30">
      <c r="A131" t="s">
        <v>480</v>
      </c>
      <c r="B131" t="s">
        <v>192</v>
      </c>
      <c r="C131" t="s">
        <v>21</v>
      </c>
      <c r="D131" t="s">
        <v>52</v>
      </c>
      <c r="E131" t="s">
        <v>50</v>
      </c>
      <c r="F131" t="s">
        <v>187</v>
      </c>
      <c r="G131" s="1" t="s">
        <v>193</v>
      </c>
      <c r="H131" s="1" t="s">
        <v>194</v>
      </c>
      <c r="I131" s="1" t="s">
        <v>481</v>
      </c>
      <c r="J131" t="s">
        <v>447</v>
      </c>
      <c r="K131">
        <v>23</v>
      </c>
      <c r="L131">
        <v>1</v>
      </c>
      <c r="M131">
        <v>1</v>
      </c>
      <c r="N131" s="11">
        <v>0</v>
      </c>
      <c r="O131" s="11">
        <v>-6.0000000000000001E-3</v>
      </c>
      <c r="P131">
        <v>20260719</v>
      </c>
      <c r="Q131">
        <v>46222.653275462966</v>
      </c>
    </row>
    <row r="132" spans="1:17" ht="30">
      <c r="A132" t="s">
        <v>482</v>
      </c>
      <c r="B132" t="s">
        <v>197</v>
      </c>
      <c r="C132" t="s">
        <v>21</v>
      </c>
      <c r="D132" t="s">
        <v>52</v>
      </c>
      <c r="E132" t="s">
        <v>50</v>
      </c>
      <c r="F132" t="s">
        <v>187</v>
      </c>
      <c r="G132" s="1" t="s">
        <v>198</v>
      </c>
      <c r="H132" s="1" t="s">
        <v>199</v>
      </c>
      <c r="I132" s="1" t="s">
        <v>483</v>
      </c>
      <c r="J132" t="s">
        <v>447</v>
      </c>
      <c r="K132">
        <v>27</v>
      </c>
      <c r="L132">
        <v>1</v>
      </c>
      <c r="M132">
        <v>1</v>
      </c>
      <c r="N132" s="11">
        <v>0</v>
      </c>
      <c r="O132" s="11">
        <v>-6.0000000000000001E-3</v>
      </c>
      <c r="P132">
        <v>20260719</v>
      </c>
      <c r="Q132">
        <v>46222.653275462966</v>
      </c>
    </row>
    <row r="133" spans="1:17" ht="30">
      <c r="A133" t="s">
        <v>484</v>
      </c>
      <c r="B133" t="s">
        <v>202</v>
      </c>
      <c r="C133" t="s">
        <v>21</v>
      </c>
      <c r="D133" t="s">
        <v>52</v>
      </c>
      <c r="E133" t="s">
        <v>50</v>
      </c>
      <c r="F133" t="s">
        <v>187</v>
      </c>
      <c r="G133" s="1" t="s">
        <v>203</v>
      </c>
      <c r="H133" s="1" t="s">
        <v>204</v>
      </c>
      <c r="I133" s="1" t="s">
        <v>485</v>
      </c>
      <c r="J133" t="s">
        <v>447</v>
      </c>
      <c r="K133">
        <v>27</v>
      </c>
      <c r="L133">
        <v>1</v>
      </c>
      <c r="M133">
        <v>1</v>
      </c>
      <c r="N133" s="11">
        <v>0</v>
      </c>
      <c r="O133" s="11">
        <v>-6.0000000000000001E-3</v>
      </c>
      <c r="P133">
        <v>20260719</v>
      </c>
      <c r="Q133">
        <v>46222.653275462966</v>
      </c>
    </row>
    <row r="134" spans="1:17" ht="45">
      <c r="A134" t="s">
        <v>486</v>
      </c>
      <c r="B134" t="s">
        <v>207</v>
      </c>
      <c r="C134" t="s">
        <v>21</v>
      </c>
      <c r="D134" t="s">
        <v>52</v>
      </c>
      <c r="E134" t="s">
        <v>50</v>
      </c>
      <c r="F134" t="s">
        <v>208</v>
      </c>
      <c r="G134" s="1" t="s">
        <v>209</v>
      </c>
      <c r="H134" s="1" t="s">
        <v>210</v>
      </c>
      <c r="I134" s="1" t="s">
        <v>487</v>
      </c>
      <c r="J134" t="s">
        <v>456</v>
      </c>
      <c r="K134">
        <v>30</v>
      </c>
      <c r="L134">
        <v>0</v>
      </c>
      <c r="M134">
        <v>0</v>
      </c>
      <c r="N134" s="11">
        <v>0</v>
      </c>
      <c r="O134" s="11">
        <v>-6.0000000000000001E-3</v>
      </c>
      <c r="P134">
        <v>20260719</v>
      </c>
      <c r="Q134">
        <v>46222.653275462966</v>
      </c>
    </row>
    <row r="135" spans="1:17" ht="30">
      <c r="A135" t="s">
        <v>488</v>
      </c>
      <c r="B135" t="s">
        <v>213</v>
      </c>
      <c r="C135" t="s">
        <v>21</v>
      </c>
      <c r="D135" t="s">
        <v>52</v>
      </c>
      <c r="E135" t="s">
        <v>50</v>
      </c>
      <c r="F135" t="s">
        <v>208</v>
      </c>
      <c r="G135" s="1" t="s">
        <v>214</v>
      </c>
      <c r="H135" s="1" t="s">
        <v>215</v>
      </c>
      <c r="I135" s="1" t="s">
        <v>489</v>
      </c>
      <c r="J135" t="s">
        <v>456</v>
      </c>
      <c r="K135">
        <v>26</v>
      </c>
      <c r="L135">
        <v>0</v>
      </c>
      <c r="M135">
        <v>0</v>
      </c>
      <c r="N135" s="11">
        <v>0</v>
      </c>
      <c r="O135" s="11">
        <v>-6.0000000000000001E-3</v>
      </c>
      <c r="P135">
        <v>20260719</v>
      </c>
      <c r="Q135">
        <v>46222.653275462966</v>
      </c>
    </row>
    <row r="136" spans="1:17" ht="30">
      <c r="A136" t="s">
        <v>490</v>
      </c>
      <c r="B136" t="s">
        <v>218</v>
      </c>
      <c r="C136" t="s">
        <v>21</v>
      </c>
      <c r="D136" t="s">
        <v>52</v>
      </c>
      <c r="E136" t="s">
        <v>50</v>
      </c>
      <c r="F136" t="s">
        <v>208</v>
      </c>
      <c r="G136" s="1" t="s">
        <v>219</v>
      </c>
      <c r="H136" s="1" t="s">
        <v>220</v>
      </c>
      <c r="I136" s="1" t="s">
        <v>491</v>
      </c>
      <c r="J136" t="s">
        <v>456</v>
      </c>
      <c r="K136">
        <v>26</v>
      </c>
      <c r="L136">
        <v>0</v>
      </c>
      <c r="M136">
        <v>0</v>
      </c>
      <c r="N136" s="11">
        <v>0</v>
      </c>
      <c r="O136" s="11">
        <v>-6.0000000000000001E-3</v>
      </c>
      <c r="P136">
        <v>20260719</v>
      </c>
      <c r="Q136">
        <v>46222.653275462966</v>
      </c>
    </row>
    <row r="137" spans="1:17" ht="30">
      <c r="A137" t="s">
        <v>492</v>
      </c>
      <c r="B137" t="s">
        <v>223</v>
      </c>
      <c r="C137" t="s">
        <v>21</v>
      </c>
      <c r="D137" t="s">
        <v>52</v>
      </c>
      <c r="E137" t="s">
        <v>50</v>
      </c>
      <c r="F137" t="s">
        <v>208</v>
      </c>
      <c r="G137" s="1" t="s">
        <v>224</v>
      </c>
      <c r="H137" s="1" t="s">
        <v>225</v>
      </c>
      <c r="I137" s="1" t="s">
        <v>493</v>
      </c>
      <c r="J137" t="s">
        <v>456</v>
      </c>
      <c r="K137">
        <v>30</v>
      </c>
      <c r="L137">
        <v>0</v>
      </c>
      <c r="M137">
        <v>0</v>
      </c>
      <c r="N137" s="11">
        <v>0</v>
      </c>
      <c r="O137" s="11">
        <v>-6.0000000000000001E-3</v>
      </c>
      <c r="P137">
        <v>20260719</v>
      </c>
      <c r="Q137">
        <v>46222.653275462966</v>
      </c>
    </row>
    <row r="138" spans="1:17" ht="30">
      <c r="A138" t="s">
        <v>494</v>
      </c>
      <c r="B138" t="s">
        <v>228</v>
      </c>
      <c r="C138" t="s">
        <v>21</v>
      </c>
      <c r="D138" t="s">
        <v>52</v>
      </c>
      <c r="E138" t="s">
        <v>50</v>
      </c>
      <c r="F138" t="s">
        <v>229</v>
      </c>
      <c r="G138" s="1" t="s">
        <v>230</v>
      </c>
      <c r="H138" s="1" t="s">
        <v>231</v>
      </c>
      <c r="I138" s="1" t="s">
        <v>495</v>
      </c>
      <c r="J138" t="s">
        <v>456</v>
      </c>
      <c r="K138">
        <v>25</v>
      </c>
      <c r="L138">
        <v>0</v>
      </c>
      <c r="M138">
        <v>0</v>
      </c>
      <c r="N138" s="11">
        <v>0</v>
      </c>
      <c r="O138" s="11">
        <v>-6.0000000000000001E-3</v>
      </c>
      <c r="P138">
        <v>20260719</v>
      </c>
      <c r="Q138">
        <v>46222.653275462966</v>
      </c>
    </row>
    <row r="139" spans="1:17" ht="45">
      <c r="A139" t="s">
        <v>496</v>
      </c>
      <c r="B139" t="s">
        <v>234</v>
      </c>
      <c r="C139" t="s">
        <v>21</v>
      </c>
      <c r="D139" t="s">
        <v>52</v>
      </c>
      <c r="E139" t="s">
        <v>50</v>
      </c>
      <c r="F139" t="s">
        <v>229</v>
      </c>
      <c r="G139" s="1" t="s">
        <v>235</v>
      </c>
      <c r="H139" s="1" t="s">
        <v>236</v>
      </c>
      <c r="I139" s="1" t="s">
        <v>497</v>
      </c>
      <c r="J139" t="s">
        <v>456</v>
      </c>
      <c r="K139">
        <v>32</v>
      </c>
      <c r="L139">
        <v>0</v>
      </c>
      <c r="M139">
        <v>0</v>
      </c>
      <c r="N139" s="11">
        <v>0</v>
      </c>
      <c r="O139" s="11">
        <v>-6.0000000000000001E-3</v>
      </c>
      <c r="P139">
        <v>20260719</v>
      </c>
      <c r="Q139">
        <v>46222.653275462966</v>
      </c>
    </row>
    <row r="140" spans="1:17" ht="30">
      <c r="A140" t="s">
        <v>498</v>
      </c>
      <c r="B140" t="s">
        <v>239</v>
      </c>
      <c r="C140" t="s">
        <v>21</v>
      </c>
      <c r="D140" t="s">
        <v>52</v>
      </c>
      <c r="E140" t="s">
        <v>50</v>
      </c>
      <c r="F140" t="s">
        <v>229</v>
      </c>
      <c r="G140" s="1" t="s">
        <v>240</v>
      </c>
      <c r="H140" s="1" t="s">
        <v>241</v>
      </c>
      <c r="I140" s="1" t="s">
        <v>455</v>
      </c>
      <c r="J140" t="s">
        <v>456</v>
      </c>
      <c r="K140">
        <v>29</v>
      </c>
      <c r="L140">
        <v>0</v>
      </c>
      <c r="M140">
        <v>0</v>
      </c>
      <c r="N140" s="11">
        <v>0</v>
      </c>
      <c r="O140" s="11">
        <v>-6.0000000000000001E-3</v>
      </c>
      <c r="P140">
        <v>20260719</v>
      </c>
      <c r="Q140">
        <v>46222.653275462966</v>
      </c>
    </row>
    <row r="141" spans="1:17" ht="30">
      <c r="A141" t="s">
        <v>499</v>
      </c>
      <c r="B141" t="s">
        <v>244</v>
      </c>
      <c r="C141" t="s">
        <v>21</v>
      </c>
      <c r="D141" t="s">
        <v>52</v>
      </c>
      <c r="E141" t="s">
        <v>50</v>
      </c>
      <c r="F141" t="s">
        <v>229</v>
      </c>
      <c r="G141" s="1" t="s">
        <v>245</v>
      </c>
      <c r="H141" s="1" t="s">
        <v>246</v>
      </c>
      <c r="I141" s="1" t="s">
        <v>458</v>
      </c>
      <c r="J141" t="s">
        <v>456</v>
      </c>
      <c r="K141">
        <v>25</v>
      </c>
      <c r="L141">
        <v>0</v>
      </c>
      <c r="M141">
        <v>0</v>
      </c>
      <c r="N141" s="11">
        <v>0</v>
      </c>
      <c r="O141" s="11">
        <v>-6.0000000000000001E-3</v>
      </c>
      <c r="P141">
        <v>20260719</v>
      </c>
      <c r="Q141">
        <v>46222.653275462966</v>
      </c>
    </row>
    <row r="142" spans="1:17" ht="30">
      <c r="A142" t="s">
        <v>500</v>
      </c>
      <c r="B142" t="s">
        <v>249</v>
      </c>
      <c r="C142" t="s">
        <v>21</v>
      </c>
      <c r="D142" t="s">
        <v>52</v>
      </c>
      <c r="E142" t="s">
        <v>50</v>
      </c>
      <c r="F142" t="s">
        <v>250</v>
      </c>
      <c r="G142" s="1" t="s">
        <v>251</v>
      </c>
      <c r="H142" s="1" t="s">
        <v>252</v>
      </c>
      <c r="I142" s="1" t="s">
        <v>460</v>
      </c>
      <c r="J142" t="s">
        <v>456</v>
      </c>
      <c r="K142">
        <v>25</v>
      </c>
      <c r="L142">
        <v>0</v>
      </c>
      <c r="M142">
        <v>0</v>
      </c>
      <c r="N142" s="11">
        <v>0</v>
      </c>
      <c r="O142" s="11">
        <v>-6.0000000000000001E-3</v>
      </c>
      <c r="P142">
        <v>20260719</v>
      </c>
      <c r="Q142">
        <v>46222.653275462966</v>
      </c>
    </row>
    <row r="143" spans="1:17" ht="30">
      <c r="A143" t="s">
        <v>501</v>
      </c>
      <c r="B143" t="s">
        <v>255</v>
      </c>
      <c r="C143" t="s">
        <v>21</v>
      </c>
      <c r="D143" t="s">
        <v>52</v>
      </c>
      <c r="E143" t="s">
        <v>50</v>
      </c>
      <c r="F143" t="s">
        <v>250</v>
      </c>
      <c r="G143" s="1" t="s">
        <v>256</v>
      </c>
      <c r="H143" s="1" t="s">
        <v>257</v>
      </c>
      <c r="I143" s="1" t="s">
        <v>462</v>
      </c>
      <c r="J143" t="s">
        <v>456</v>
      </c>
      <c r="K143">
        <v>30</v>
      </c>
      <c r="L143">
        <v>0</v>
      </c>
      <c r="M143">
        <v>0</v>
      </c>
      <c r="N143" s="11">
        <v>0</v>
      </c>
      <c r="O143" s="11">
        <v>-6.0000000000000001E-3</v>
      </c>
      <c r="P143">
        <v>20260719</v>
      </c>
      <c r="Q143">
        <v>46222.653275462966</v>
      </c>
    </row>
    <row r="144" spans="1:17" ht="30">
      <c r="A144" t="s">
        <v>502</v>
      </c>
      <c r="B144" t="s">
        <v>260</v>
      </c>
      <c r="C144" t="s">
        <v>21</v>
      </c>
      <c r="D144" t="s">
        <v>52</v>
      </c>
      <c r="E144" t="s">
        <v>50</v>
      </c>
      <c r="F144" t="s">
        <v>250</v>
      </c>
      <c r="G144" s="1" t="s">
        <v>261</v>
      </c>
      <c r="H144" s="1" t="s">
        <v>262</v>
      </c>
      <c r="I144" s="1" t="s">
        <v>464</v>
      </c>
      <c r="J144" t="s">
        <v>456</v>
      </c>
      <c r="K144">
        <v>24</v>
      </c>
      <c r="L144">
        <v>0</v>
      </c>
      <c r="M144">
        <v>0</v>
      </c>
      <c r="N144" s="11">
        <v>0</v>
      </c>
      <c r="O144" s="11">
        <v>-6.0000000000000001E-3</v>
      </c>
      <c r="P144">
        <v>20260719</v>
      </c>
      <c r="Q144">
        <v>46222.653275462966</v>
      </c>
    </row>
    <row r="145" spans="1:17" ht="45">
      <c r="A145" t="s">
        <v>503</v>
      </c>
      <c r="B145" t="s">
        <v>265</v>
      </c>
      <c r="C145" t="s">
        <v>21</v>
      </c>
      <c r="D145" t="s">
        <v>52</v>
      </c>
      <c r="E145" t="s">
        <v>50</v>
      </c>
      <c r="F145" t="s">
        <v>250</v>
      </c>
      <c r="G145" s="1" t="s">
        <v>266</v>
      </c>
      <c r="H145" s="1" t="s">
        <v>267</v>
      </c>
      <c r="I145" s="1" t="s">
        <v>466</v>
      </c>
      <c r="J145" t="s">
        <v>456</v>
      </c>
      <c r="K145">
        <v>30</v>
      </c>
      <c r="L145">
        <v>0</v>
      </c>
      <c r="M145">
        <v>0</v>
      </c>
      <c r="N145" s="11">
        <v>0</v>
      </c>
      <c r="O145" s="11">
        <v>-6.0000000000000001E-3</v>
      </c>
      <c r="P145">
        <v>20260719</v>
      </c>
      <c r="Q145">
        <v>46222.653275462966</v>
      </c>
    </row>
    <row r="146" spans="1:17" ht="45">
      <c r="A146" t="s">
        <v>504</v>
      </c>
      <c r="B146" t="s">
        <v>142</v>
      </c>
      <c r="C146" t="s">
        <v>22</v>
      </c>
      <c r="D146" t="s">
        <v>53</v>
      </c>
      <c r="E146" t="s">
        <v>50</v>
      </c>
      <c r="F146" t="s">
        <v>143</v>
      </c>
      <c r="G146" s="1" t="s">
        <v>144</v>
      </c>
      <c r="H146" s="1" t="s">
        <v>145</v>
      </c>
      <c r="I146" s="1" t="s">
        <v>505</v>
      </c>
      <c r="J146" t="s">
        <v>158</v>
      </c>
      <c r="K146">
        <v>35</v>
      </c>
      <c r="L146">
        <v>0</v>
      </c>
      <c r="M146">
        <v>4</v>
      </c>
      <c r="N146" s="11">
        <v>-0.114286</v>
      </c>
      <c r="O146" s="11">
        <v>-0.10199999999999999</v>
      </c>
      <c r="P146">
        <v>20260719</v>
      </c>
      <c r="Q146">
        <v>46222.653275462966</v>
      </c>
    </row>
    <row r="147" spans="1:17" ht="45">
      <c r="A147" t="s">
        <v>506</v>
      </c>
      <c r="B147" t="s">
        <v>149</v>
      </c>
      <c r="C147" t="s">
        <v>22</v>
      </c>
      <c r="D147" t="s">
        <v>53</v>
      </c>
      <c r="E147" t="s">
        <v>50</v>
      </c>
      <c r="F147" t="s">
        <v>143</v>
      </c>
      <c r="G147" s="1" t="s">
        <v>150</v>
      </c>
      <c r="H147" s="1" t="s">
        <v>151</v>
      </c>
      <c r="I147" s="1" t="s">
        <v>507</v>
      </c>
      <c r="J147" t="s">
        <v>158</v>
      </c>
      <c r="K147">
        <v>35</v>
      </c>
      <c r="L147">
        <v>0</v>
      </c>
      <c r="M147">
        <v>4</v>
      </c>
      <c r="N147" s="11">
        <v>-0.114286</v>
      </c>
      <c r="O147" s="11">
        <v>-0.10199999999999999</v>
      </c>
      <c r="P147">
        <v>20260719</v>
      </c>
      <c r="Q147">
        <v>46222.653275462966</v>
      </c>
    </row>
    <row r="148" spans="1:17" ht="45">
      <c r="A148" t="s">
        <v>508</v>
      </c>
      <c r="B148" t="s">
        <v>154</v>
      </c>
      <c r="C148" t="s">
        <v>22</v>
      </c>
      <c r="D148" t="s">
        <v>53</v>
      </c>
      <c r="E148" t="s">
        <v>50</v>
      </c>
      <c r="F148" t="s">
        <v>143</v>
      </c>
      <c r="G148" s="1" t="s">
        <v>155</v>
      </c>
      <c r="H148" s="1" t="s">
        <v>156</v>
      </c>
      <c r="I148" s="1" t="s">
        <v>157</v>
      </c>
      <c r="J148" t="s">
        <v>158</v>
      </c>
      <c r="K148">
        <v>33</v>
      </c>
      <c r="L148">
        <v>0</v>
      </c>
      <c r="M148">
        <v>4</v>
      </c>
      <c r="N148" s="11">
        <v>-0.121212</v>
      </c>
      <c r="O148" s="11">
        <v>-0.10199999999999999</v>
      </c>
      <c r="P148">
        <v>20260719</v>
      </c>
      <c r="Q148">
        <v>46222.653275462966</v>
      </c>
    </row>
    <row r="149" spans="1:17" ht="45">
      <c r="A149" t="s">
        <v>509</v>
      </c>
      <c r="B149" t="s">
        <v>160</v>
      </c>
      <c r="C149" t="s">
        <v>22</v>
      </c>
      <c r="D149" t="s">
        <v>53</v>
      </c>
      <c r="E149" t="s">
        <v>50</v>
      </c>
      <c r="F149" t="s">
        <v>143</v>
      </c>
      <c r="G149" s="1" t="s">
        <v>161</v>
      </c>
      <c r="H149" s="1" t="s">
        <v>162</v>
      </c>
      <c r="I149" s="1" t="s">
        <v>510</v>
      </c>
      <c r="J149" t="s">
        <v>158</v>
      </c>
      <c r="K149">
        <v>34</v>
      </c>
      <c r="L149">
        <v>0</v>
      </c>
      <c r="M149">
        <v>4</v>
      </c>
      <c r="N149" s="11">
        <v>-0.117647</v>
      </c>
      <c r="O149" s="11">
        <v>-0.10199999999999999</v>
      </c>
      <c r="P149">
        <v>20260719</v>
      </c>
      <c r="Q149">
        <v>46222.653275462966</v>
      </c>
    </row>
    <row r="150" spans="1:17" ht="45">
      <c r="A150" t="s">
        <v>511</v>
      </c>
      <c r="B150" t="s">
        <v>165</v>
      </c>
      <c r="C150" t="s">
        <v>22</v>
      </c>
      <c r="D150" t="s">
        <v>53</v>
      </c>
      <c r="E150" t="s">
        <v>50</v>
      </c>
      <c r="F150" t="s">
        <v>166</v>
      </c>
      <c r="G150" s="1" t="s">
        <v>167</v>
      </c>
      <c r="H150" s="1" t="s">
        <v>168</v>
      </c>
      <c r="I150" s="1" t="s">
        <v>512</v>
      </c>
      <c r="J150" t="s">
        <v>158</v>
      </c>
      <c r="K150">
        <v>36</v>
      </c>
      <c r="L150">
        <v>0</v>
      </c>
      <c r="M150">
        <v>4</v>
      </c>
      <c r="N150" s="11">
        <v>-0.111111</v>
      </c>
      <c r="O150" s="11">
        <v>-0.10199999999999999</v>
      </c>
      <c r="P150">
        <v>20260719</v>
      </c>
      <c r="Q150">
        <v>46222.653275462966</v>
      </c>
    </row>
    <row r="151" spans="1:17" ht="45">
      <c r="A151" t="s">
        <v>513</v>
      </c>
      <c r="B151" t="s">
        <v>171</v>
      </c>
      <c r="C151" t="s">
        <v>22</v>
      </c>
      <c r="D151" t="s">
        <v>53</v>
      </c>
      <c r="E151" t="s">
        <v>50</v>
      </c>
      <c r="F151" t="s">
        <v>166</v>
      </c>
      <c r="G151" s="1" t="s">
        <v>172</v>
      </c>
      <c r="H151" s="1" t="s">
        <v>173</v>
      </c>
      <c r="I151" s="1" t="s">
        <v>514</v>
      </c>
      <c r="J151" t="s">
        <v>158</v>
      </c>
      <c r="K151">
        <v>35</v>
      </c>
      <c r="L151">
        <v>0</v>
      </c>
      <c r="M151">
        <v>4</v>
      </c>
      <c r="N151" s="11">
        <v>-0.114286</v>
      </c>
      <c r="O151" s="11">
        <v>-0.10199999999999999</v>
      </c>
      <c r="P151">
        <v>20260719</v>
      </c>
      <c r="Q151">
        <v>46222.653275462966</v>
      </c>
    </row>
    <row r="152" spans="1:17" ht="45">
      <c r="A152" t="s">
        <v>515</v>
      </c>
      <c r="B152" t="s">
        <v>176</v>
      </c>
      <c r="C152" t="s">
        <v>22</v>
      </c>
      <c r="D152" t="s">
        <v>53</v>
      </c>
      <c r="E152" t="s">
        <v>50</v>
      </c>
      <c r="F152" t="s">
        <v>166</v>
      </c>
      <c r="G152" s="1" t="s">
        <v>177</v>
      </c>
      <c r="H152" s="1" t="s">
        <v>178</v>
      </c>
      <c r="I152" s="1" t="s">
        <v>516</v>
      </c>
      <c r="J152" t="s">
        <v>158</v>
      </c>
      <c r="K152">
        <v>34</v>
      </c>
      <c r="L152">
        <v>0</v>
      </c>
      <c r="M152">
        <v>3</v>
      </c>
      <c r="N152" s="11">
        <v>-8.8234999999999994E-2</v>
      </c>
      <c r="O152" s="11">
        <v>-0.10199999999999999</v>
      </c>
      <c r="P152">
        <v>20260719</v>
      </c>
      <c r="Q152">
        <v>46222.653275462966</v>
      </c>
    </row>
    <row r="153" spans="1:17" ht="45">
      <c r="A153" t="s">
        <v>517</v>
      </c>
      <c r="B153" t="s">
        <v>181</v>
      </c>
      <c r="C153" t="s">
        <v>22</v>
      </c>
      <c r="D153" t="s">
        <v>53</v>
      </c>
      <c r="E153" t="s">
        <v>50</v>
      </c>
      <c r="F153" t="s">
        <v>166</v>
      </c>
      <c r="G153" s="1" t="s">
        <v>182</v>
      </c>
      <c r="H153" s="1" t="s">
        <v>183</v>
      </c>
      <c r="I153" s="1" t="s">
        <v>184</v>
      </c>
      <c r="J153" t="s">
        <v>158</v>
      </c>
      <c r="K153">
        <v>32</v>
      </c>
      <c r="L153">
        <v>0</v>
      </c>
      <c r="M153">
        <v>4</v>
      </c>
      <c r="N153" s="11">
        <v>-0.125</v>
      </c>
      <c r="O153" s="11">
        <v>-0.10199999999999999</v>
      </c>
      <c r="P153">
        <v>20260719</v>
      </c>
      <c r="Q153">
        <v>46222.653275462966</v>
      </c>
    </row>
    <row r="154" spans="1:17" ht="30">
      <c r="A154" t="s">
        <v>518</v>
      </c>
      <c r="B154" t="s">
        <v>186</v>
      </c>
      <c r="C154" t="s">
        <v>22</v>
      </c>
      <c r="D154" t="s">
        <v>53</v>
      </c>
      <c r="E154" t="s">
        <v>50</v>
      </c>
      <c r="F154" t="s">
        <v>187</v>
      </c>
      <c r="G154" s="1" t="s">
        <v>188</v>
      </c>
      <c r="H154" s="1" t="s">
        <v>189</v>
      </c>
      <c r="I154" s="1" t="s">
        <v>190</v>
      </c>
      <c r="J154" t="s">
        <v>147</v>
      </c>
      <c r="K154">
        <v>35</v>
      </c>
      <c r="L154">
        <v>0</v>
      </c>
      <c r="M154">
        <v>3</v>
      </c>
      <c r="N154" s="11">
        <v>-8.5713999999999999E-2</v>
      </c>
      <c r="O154" s="11">
        <v>-0.10199999999999999</v>
      </c>
      <c r="P154">
        <v>20260719</v>
      </c>
      <c r="Q154">
        <v>46222.653275462966</v>
      </c>
    </row>
    <row r="155" spans="1:17" ht="30">
      <c r="A155" t="s">
        <v>519</v>
      </c>
      <c r="B155" t="s">
        <v>192</v>
      </c>
      <c r="C155" t="s">
        <v>22</v>
      </c>
      <c r="D155" t="s">
        <v>53</v>
      </c>
      <c r="E155" t="s">
        <v>50</v>
      </c>
      <c r="F155" t="s">
        <v>187</v>
      </c>
      <c r="G155" s="1" t="s">
        <v>193</v>
      </c>
      <c r="H155" s="1" t="s">
        <v>194</v>
      </c>
      <c r="I155" s="1" t="s">
        <v>195</v>
      </c>
      <c r="J155" t="s">
        <v>147</v>
      </c>
      <c r="K155">
        <v>27</v>
      </c>
      <c r="L155">
        <v>0</v>
      </c>
      <c r="M155">
        <v>3</v>
      </c>
      <c r="N155" s="11">
        <v>-0.111111</v>
      </c>
      <c r="O155" s="11">
        <v>-0.10199999999999999</v>
      </c>
      <c r="P155">
        <v>20260719</v>
      </c>
      <c r="Q155">
        <v>46222.653275462966</v>
      </c>
    </row>
    <row r="156" spans="1:17" ht="45">
      <c r="A156" t="s">
        <v>520</v>
      </c>
      <c r="B156" t="s">
        <v>197</v>
      </c>
      <c r="C156" t="s">
        <v>22</v>
      </c>
      <c r="D156" t="s">
        <v>53</v>
      </c>
      <c r="E156" t="s">
        <v>50</v>
      </c>
      <c r="F156" t="s">
        <v>187</v>
      </c>
      <c r="G156" s="1" t="s">
        <v>198</v>
      </c>
      <c r="H156" s="1" t="s">
        <v>199</v>
      </c>
      <c r="I156" s="1" t="s">
        <v>200</v>
      </c>
      <c r="J156" t="s">
        <v>147</v>
      </c>
      <c r="K156">
        <v>34</v>
      </c>
      <c r="L156">
        <v>0</v>
      </c>
      <c r="M156">
        <v>3</v>
      </c>
      <c r="N156" s="11">
        <v>-8.8234999999999994E-2</v>
      </c>
      <c r="O156" s="11">
        <v>-0.10199999999999999</v>
      </c>
      <c r="P156">
        <v>20260719</v>
      </c>
      <c r="Q156">
        <v>46222.653275462966</v>
      </c>
    </row>
    <row r="157" spans="1:17" ht="45">
      <c r="A157" t="s">
        <v>521</v>
      </c>
      <c r="B157" t="s">
        <v>202</v>
      </c>
      <c r="C157" t="s">
        <v>22</v>
      </c>
      <c r="D157" t="s">
        <v>53</v>
      </c>
      <c r="E157" t="s">
        <v>50</v>
      </c>
      <c r="F157" t="s">
        <v>187</v>
      </c>
      <c r="G157" s="1" t="s">
        <v>203</v>
      </c>
      <c r="H157" s="1" t="s">
        <v>204</v>
      </c>
      <c r="I157" s="1" t="s">
        <v>205</v>
      </c>
      <c r="J157" t="s">
        <v>147</v>
      </c>
      <c r="K157">
        <v>32</v>
      </c>
      <c r="L157">
        <v>0</v>
      </c>
      <c r="M157">
        <v>3</v>
      </c>
      <c r="N157" s="11">
        <v>-9.375E-2</v>
      </c>
      <c r="O157" s="11">
        <v>-0.10199999999999999</v>
      </c>
      <c r="P157">
        <v>20260719</v>
      </c>
      <c r="Q157">
        <v>46222.653275462966</v>
      </c>
    </row>
    <row r="158" spans="1:17" ht="45">
      <c r="A158" t="s">
        <v>522</v>
      </c>
      <c r="B158" t="s">
        <v>207</v>
      </c>
      <c r="C158" t="s">
        <v>22</v>
      </c>
      <c r="D158" t="s">
        <v>53</v>
      </c>
      <c r="E158" t="s">
        <v>50</v>
      </c>
      <c r="F158" t="s">
        <v>208</v>
      </c>
      <c r="G158" s="1" t="s">
        <v>209</v>
      </c>
      <c r="H158" s="1" t="s">
        <v>210</v>
      </c>
      <c r="I158" s="1" t="s">
        <v>211</v>
      </c>
      <c r="J158" t="s">
        <v>147</v>
      </c>
      <c r="K158">
        <v>33</v>
      </c>
      <c r="L158">
        <v>0</v>
      </c>
      <c r="M158">
        <v>3</v>
      </c>
      <c r="N158" s="11">
        <v>-9.0909000000000004E-2</v>
      </c>
      <c r="O158" s="11">
        <v>-0.10199999999999999</v>
      </c>
      <c r="P158">
        <v>20260719</v>
      </c>
      <c r="Q158">
        <v>46222.653275462966</v>
      </c>
    </row>
    <row r="159" spans="1:17" ht="30">
      <c r="A159" t="s">
        <v>523</v>
      </c>
      <c r="B159" t="s">
        <v>213</v>
      </c>
      <c r="C159" t="s">
        <v>22</v>
      </c>
      <c r="D159" t="s">
        <v>53</v>
      </c>
      <c r="E159" t="s">
        <v>50</v>
      </c>
      <c r="F159" t="s">
        <v>208</v>
      </c>
      <c r="G159" s="1" t="s">
        <v>214</v>
      </c>
      <c r="H159" s="1" t="s">
        <v>215</v>
      </c>
      <c r="I159" s="1" t="s">
        <v>524</v>
      </c>
      <c r="J159" t="s">
        <v>147</v>
      </c>
      <c r="K159">
        <v>30</v>
      </c>
      <c r="L159">
        <v>0</v>
      </c>
      <c r="M159">
        <v>3</v>
      </c>
      <c r="N159" s="11">
        <v>-0.1</v>
      </c>
      <c r="O159" s="11">
        <v>-0.10199999999999999</v>
      </c>
      <c r="P159">
        <v>20260719</v>
      </c>
      <c r="Q159">
        <v>46222.653275462966</v>
      </c>
    </row>
    <row r="160" spans="1:17" ht="30">
      <c r="A160" t="s">
        <v>525</v>
      </c>
      <c r="B160" t="s">
        <v>218</v>
      </c>
      <c r="C160" t="s">
        <v>22</v>
      </c>
      <c r="D160" t="s">
        <v>53</v>
      </c>
      <c r="E160" t="s">
        <v>50</v>
      </c>
      <c r="F160" t="s">
        <v>208</v>
      </c>
      <c r="G160" s="1" t="s">
        <v>219</v>
      </c>
      <c r="H160" s="1" t="s">
        <v>220</v>
      </c>
      <c r="I160" s="1" t="s">
        <v>221</v>
      </c>
      <c r="J160" t="s">
        <v>147</v>
      </c>
      <c r="K160">
        <v>30</v>
      </c>
      <c r="L160">
        <v>0</v>
      </c>
      <c r="M160">
        <v>3</v>
      </c>
      <c r="N160" s="11">
        <v>-0.1</v>
      </c>
      <c r="O160" s="11">
        <v>-0.10199999999999999</v>
      </c>
      <c r="P160">
        <v>20260719</v>
      </c>
      <c r="Q160">
        <v>46222.653275462966</v>
      </c>
    </row>
    <row r="161" spans="1:17" ht="30">
      <c r="A161" t="s">
        <v>526</v>
      </c>
      <c r="B161" t="s">
        <v>223</v>
      </c>
      <c r="C161" t="s">
        <v>22</v>
      </c>
      <c r="D161" t="s">
        <v>53</v>
      </c>
      <c r="E161" t="s">
        <v>50</v>
      </c>
      <c r="F161" t="s">
        <v>208</v>
      </c>
      <c r="G161" s="1" t="s">
        <v>224</v>
      </c>
      <c r="H161" s="1" t="s">
        <v>225</v>
      </c>
      <c r="I161" s="1" t="s">
        <v>226</v>
      </c>
      <c r="J161" t="s">
        <v>147</v>
      </c>
      <c r="K161">
        <v>32</v>
      </c>
      <c r="L161">
        <v>0</v>
      </c>
      <c r="M161">
        <v>3</v>
      </c>
      <c r="N161" s="11">
        <v>-9.375E-2</v>
      </c>
      <c r="O161" s="11">
        <v>-0.10199999999999999</v>
      </c>
      <c r="P161">
        <v>20260719</v>
      </c>
      <c r="Q161">
        <v>46222.653275462966</v>
      </c>
    </row>
    <row r="162" spans="1:17" ht="30">
      <c r="A162" t="s">
        <v>527</v>
      </c>
      <c r="B162" t="s">
        <v>228</v>
      </c>
      <c r="C162" t="s">
        <v>22</v>
      </c>
      <c r="D162" t="s">
        <v>53</v>
      </c>
      <c r="E162" t="s">
        <v>50</v>
      </c>
      <c r="F162" t="s">
        <v>229</v>
      </c>
      <c r="G162" s="1" t="s">
        <v>230</v>
      </c>
      <c r="H162" s="1" t="s">
        <v>231</v>
      </c>
      <c r="I162" s="1" t="s">
        <v>232</v>
      </c>
      <c r="J162" t="s">
        <v>147</v>
      </c>
      <c r="K162">
        <v>29</v>
      </c>
      <c r="L162">
        <v>0</v>
      </c>
      <c r="M162">
        <v>3</v>
      </c>
      <c r="N162" s="11">
        <v>-0.103448</v>
      </c>
      <c r="O162" s="11">
        <v>-0.10199999999999999</v>
      </c>
      <c r="P162">
        <v>20260719</v>
      </c>
      <c r="Q162">
        <v>46222.653275462966</v>
      </c>
    </row>
    <row r="163" spans="1:17" ht="45">
      <c r="A163" t="s">
        <v>528</v>
      </c>
      <c r="B163" t="s">
        <v>234</v>
      </c>
      <c r="C163" t="s">
        <v>22</v>
      </c>
      <c r="D163" t="s">
        <v>53</v>
      </c>
      <c r="E163" t="s">
        <v>50</v>
      </c>
      <c r="F163" t="s">
        <v>229</v>
      </c>
      <c r="G163" s="1" t="s">
        <v>235</v>
      </c>
      <c r="H163" s="1" t="s">
        <v>236</v>
      </c>
      <c r="I163" s="1" t="s">
        <v>237</v>
      </c>
      <c r="J163" t="s">
        <v>147</v>
      </c>
      <c r="K163">
        <v>35</v>
      </c>
      <c r="L163">
        <v>0</v>
      </c>
      <c r="M163">
        <v>3</v>
      </c>
      <c r="N163" s="11">
        <v>-8.5713999999999999E-2</v>
      </c>
      <c r="O163" s="11">
        <v>-0.10199999999999999</v>
      </c>
      <c r="P163">
        <v>20260719</v>
      </c>
      <c r="Q163">
        <v>46222.653275462966</v>
      </c>
    </row>
    <row r="164" spans="1:17" ht="30">
      <c r="A164" t="s">
        <v>529</v>
      </c>
      <c r="B164" t="s">
        <v>239</v>
      </c>
      <c r="C164" t="s">
        <v>22</v>
      </c>
      <c r="D164" t="s">
        <v>53</v>
      </c>
      <c r="E164" t="s">
        <v>50</v>
      </c>
      <c r="F164" t="s">
        <v>229</v>
      </c>
      <c r="G164" s="1" t="s">
        <v>240</v>
      </c>
      <c r="H164" s="1" t="s">
        <v>241</v>
      </c>
      <c r="I164" s="1" t="s">
        <v>242</v>
      </c>
      <c r="J164" t="s">
        <v>147</v>
      </c>
      <c r="K164">
        <v>32</v>
      </c>
      <c r="L164">
        <v>0</v>
      </c>
      <c r="M164">
        <v>3</v>
      </c>
      <c r="N164" s="11">
        <v>-9.375E-2</v>
      </c>
      <c r="O164" s="11">
        <v>-0.10199999999999999</v>
      </c>
      <c r="P164">
        <v>20260719</v>
      </c>
      <c r="Q164">
        <v>46222.653275462966</v>
      </c>
    </row>
    <row r="165" spans="1:17" ht="30">
      <c r="A165" t="s">
        <v>530</v>
      </c>
      <c r="B165" t="s">
        <v>244</v>
      </c>
      <c r="C165" t="s">
        <v>22</v>
      </c>
      <c r="D165" t="s">
        <v>53</v>
      </c>
      <c r="E165" t="s">
        <v>50</v>
      </c>
      <c r="F165" t="s">
        <v>229</v>
      </c>
      <c r="G165" s="1" t="s">
        <v>245</v>
      </c>
      <c r="H165" s="1" t="s">
        <v>246</v>
      </c>
      <c r="I165" s="1" t="s">
        <v>247</v>
      </c>
      <c r="J165" t="s">
        <v>147</v>
      </c>
      <c r="K165">
        <v>30</v>
      </c>
      <c r="L165">
        <v>0</v>
      </c>
      <c r="M165">
        <v>3</v>
      </c>
      <c r="N165" s="11">
        <v>-0.1</v>
      </c>
      <c r="O165" s="11">
        <v>-0.10199999999999999</v>
      </c>
      <c r="P165">
        <v>20260719</v>
      </c>
      <c r="Q165">
        <v>46222.653275462966</v>
      </c>
    </row>
    <row r="166" spans="1:17" ht="30">
      <c r="A166" t="s">
        <v>531</v>
      </c>
      <c r="B166" t="s">
        <v>249</v>
      </c>
      <c r="C166" t="s">
        <v>22</v>
      </c>
      <c r="D166" t="s">
        <v>53</v>
      </c>
      <c r="E166" t="s">
        <v>50</v>
      </c>
      <c r="F166" t="s">
        <v>250</v>
      </c>
      <c r="G166" s="1" t="s">
        <v>251</v>
      </c>
      <c r="H166" s="1" t="s">
        <v>252</v>
      </c>
      <c r="I166" s="1" t="s">
        <v>532</v>
      </c>
      <c r="J166" t="s">
        <v>147</v>
      </c>
      <c r="K166">
        <v>28</v>
      </c>
      <c r="L166">
        <v>0</v>
      </c>
      <c r="M166">
        <v>3</v>
      </c>
      <c r="N166" s="11">
        <v>-0.107143</v>
      </c>
      <c r="O166" s="11">
        <v>-0.10199999999999999</v>
      </c>
      <c r="P166">
        <v>20260719</v>
      </c>
      <c r="Q166">
        <v>46222.653275462966</v>
      </c>
    </row>
    <row r="167" spans="1:17" ht="45">
      <c r="A167" t="s">
        <v>533</v>
      </c>
      <c r="B167" t="s">
        <v>255</v>
      </c>
      <c r="C167" t="s">
        <v>22</v>
      </c>
      <c r="D167" t="s">
        <v>53</v>
      </c>
      <c r="E167" t="s">
        <v>50</v>
      </c>
      <c r="F167" t="s">
        <v>250</v>
      </c>
      <c r="G167" s="1" t="s">
        <v>256</v>
      </c>
      <c r="H167" s="1" t="s">
        <v>257</v>
      </c>
      <c r="I167" s="1" t="s">
        <v>258</v>
      </c>
      <c r="J167" t="s">
        <v>147</v>
      </c>
      <c r="K167">
        <v>33</v>
      </c>
      <c r="L167">
        <v>0</v>
      </c>
      <c r="M167">
        <v>3</v>
      </c>
      <c r="N167" s="11">
        <v>-9.0909000000000004E-2</v>
      </c>
      <c r="O167" s="11">
        <v>-0.10199999999999999</v>
      </c>
      <c r="P167">
        <v>20260719</v>
      </c>
      <c r="Q167">
        <v>46222.653275462966</v>
      </c>
    </row>
    <row r="168" spans="1:17" ht="30">
      <c r="A168" t="s">
        <v>534</v>
      </c>
      <c r="B168" t="s">
        <v>260</v>
      </c>
      <c r="C168" t="s">
        <v>22</v>
      </c>
      <c r="D168" t="s">
        <v>53</v>
      </c>
      <c r="E168" t="s">
        <v>50</v>
      </c>
      <c r="F168" t="s">
        <v>250</v>
      </c>
      <c r="G168" s="1" t="s">
        <v>261</v>
      </c>
      <c r="H168" s="1" t="s">
        <v>262</v>
      </c>
      <c r="I168" s="1" t="s">
        <v>263</v>
      </c>
      <c r="J168" t="s">
        <v>147</v>
      </c>
      <c r="K168">
        <v>28</v>
      </c>
      <c r="L168">
        <v>0</v>
      </c>
      <c r="M168">
        <v>3</v>
      </c>
      <c r="N168" s="11">
        <v>-0.107143</v>
      </c>
      <c r="O168" s="11">
        <v>-0.10199999999999999</v>
      </c>
      <c r="P168">
        <v>20260719</v>
      </c>
      <c r="Q168">
        <v>46222.653275462966</v>
      </c>
    </row>
    <row r="169" spans="1:17" ht="45">
      <c r="A169" t="s">
        <v>535</v>
      </c>
      <c r="B169" t="s">
        <v>265</v>
      </c>
      <c r="C169" t="s">
        <v>22</v>
      </c>
      <c r="D169" t="s">
        <v>53</v>
      </c>
      <c r="E169" t="s">
        <v>50</v>
      </c>
      <c r="F169" t="s">
        <v>250</v>
      </c>
      <c r="G169" s="1" t="s">
        <v>266</v>
      </c>
      <c r="H169" s="1" t="s">
        <v>267</v>
      </c>
      <c r="I169" s="1" t="s">
        <v>268</v>
      </c>
      <c r="J169" t="s">
        <v>147</v>
      </c>
      <c r="K169">
        <v>33</v>
      </c>
      <c r="L169">
        <v>0</v>
      </c>
      <c r="M169">
        <v>3</v>
      </c>
      <c r="N169" s="11">
        <v>-9.0909000000000004E-2</v>
      </c>
      <c r="O169" s="11">
        <v>-0.10199999999999999</v>
      </c>
      <c r="P169">
        <v>20260719</v>
      </c>
      <c r="Q169">
        <v>46222.653275462966</v>
      </c>
    </row>
    <row r="170" spans="1:17" ht="30">
      <c r="A170" t="s">
        <v>536</v>
      </c>
      <c r="B170" t="s">
        <v>142</v>
      </c>
      <c r="C170" t="s">
        <v>23</v>
      </c>
      <c r="D170" t="s">
        <v>54</v>
      </c>
      <c r="E170" t="s">
        <v>46</v>
      </c>
      <c r="F170" t="s">
        <v>143</v>
      </c>
      <c r="G170" s="1" t="s">
        <v>144</v>
      </c>
      <c r="H170" s="1" t="s">
        <v>145</v>
      </c>
      <c r="I170" s="1" t="s">
        <v>537</v>
      </c>
      <c r="J170" t="s">
        <v>538</v>
      </c>
      <c r="K170">
        <v>26</v>
      </c>
      <c r="L170">
        <v>2</v>
      </c>
      <c r="M170">
        <v>0</v>
      </c>
      <c r="N170" s="11">
        <v>7.6923000000000005E-2</v>
      </c>
      <c r="O170" s="11">
        <v>6.9000000000000006E-2</v>
      </c>
      <c r="P170">
        <v>20260719</v>
      </c>
      <c r="Q170">
        <v>46222.653275462966</v>
      </c>
    </row>
    <row r="171" spans="1:17" ht="30">
      <c r="A171" t="s">
        <v>539</v>
      </c>
      <c r="B171" t="s">
        <v>149</v>
      </c>
      <c r="C171" t="s">
        <v>23</v>
      </c>
      <c r="D171" t="s">
        <v>54</v>
      </c>
      <c r="E171" t="s">
        <v>46</v>
      </c>
      <c r="F171" t="s">
        <v>143</v>
      </c>
      <c r="G171" s="1" t="s">
        <v>150</v>
      </c>
      <c r="H171" s="1" t="s">
        <v>151</v>
      </c>
      <c r="I171" s="1" t="s">
        <v>540</v>
      </c>
      <c r="J171" t="s">
        <v>538</v>
      </c>
      <c r="K171">
        <v>27</v>
      </c>
      <c r="L171">
        <v>2</v>
      </c>
      <c r="M171">
        <v>0</v>
      </c>
      <c r="N171" s="11">
        <v>7.4074000000000001E-2</v>
      </c>
      <c r="O171" s="11">
        <v>6.9000000000000006E-2</v>
      </c>
      <c r="P171">
        <v>20260719</v>
      </c>
      <c r="Q171">
        <v>46222.653275462966</v>
      </c>
    </row>
    <row r="172" spans="1:17" ht="30">
      <c r="A172" t="s">
        <v>541</v>
      </c>
      <c r="B172" t="s">
        <v>154</v>
      </c>
      <c r="C172" t="s">
        <v>23</v>
      </c>
      <c r="D172" t="s">
        <v>54</v>
      </c>
      <c r="E172" t="s">
        <v>46</v>
      </c>
      <c r="F172" t="s">
        <v>143</v>
      </c>
      <c r="G172" s="1" t="s">
        <v>155</v>
      </c>
      <c r="H172" s="1" t="s">
        <v>156</v>
      </c>
      <c r="I172" s="1" t="s">
        <v>542</v>
      </c>
      <c r="J172" t="s">
        <v>538</v>
      </c>
      <c r="K172">
        <v>24</v>
      </c>
      <c r="L172">
        <v>2</v>
      </c>
      <c r="M172">
        <v>0</v>
      </c>
      <c r="N172" s="11">
        <v>8.3333000000000004E-2</v>
      </c>
      <c r="O172" s="11">
        <v>6.9000000000000006E-2</v>
      </c>
      <c r="P172">
        <v>20260719</v>
      </c>
      <c r="Q172">
        <v>46222.653275462966</v>
      </c>
    </row>
    <row r="173" spans="1:17" ht="30">
      <c r="A173" t="s">
        <v>543</v>
      </c>
      <c r="B173" t="s">
        <v>160</v>
      </c>
      <c r="C173" t="s">
        <v>23</v>
      </c>
      <c r="D173" t="s">
        <v>54</v>
      </c>
      <c r="E173" t="s">
        <v>46</v>
      </c>
      <c r="F173" t="s">
        <v>143</v>
      </c>
      <c r="G173" s="1" t="s">
        <v>161</v>
      </c>
      <c r="H173" s="1" t="s">
        <v>162</v>
      </c>
      <c r="I173" s="1" t="s">
        <v>544</v>
      </c>
      <c r="J173" t="s">
        <v>538</v>
      </c>
      <c r="K173">
        <v>26</v>
      </c>
      <c r="L173">
        <v>2</v>
      </c>
      <c r="M173">
        <v>0</v>
      </c>
      <c r="N173" s="11">
        <v>7.6923000000000005E-2</v>
      </c>
      <c r="O173" s="11">
        <v>6.9000000000000006E-2</v>
      </c>
      <c r="P173">
        <v>20260719</v>
      </c>
      <c r="Q173">
        <v>46222.653275462966</v>
      </c>
    </row>
    <row r="174" spans="1:17" ht="45">
      <c r="A174" t="s">
        <v>545</v>
      </c>
      <c r="B174" t="s">
        <v>165</v>
      </c>
      <c r="C174" t="s">
        <v>23</v>
      </c>
      <c r="D174" t="s">
        <v>54</v>
      </c>
      <c r="E174" t="s">
        <v>46</v>
      </c>
      <c r="F174" t="s">
        <v>166</v>
      </c>
      <c r="G174" s="1" t="s">
        <v>167</v>
      </c>
      <c r="H174" s="1" t="s">
        <v>168</v>
      </c>
      <c r="I174" s="1" t="s">
        <v>546</v>
      </c>
      <c r="J174" t="s">
        <v>475</v>
      </c>
      <c r="K174">
        <v>30</v>
      </c>
      <c r="L174">
        <v>1</v>
      </c>
      <c r="M174">
        <v>0</v>
      </c>
      <c r="N174" s="11">
        <v>3.3333000000000002E-2</v>
      </c>
      <c r="O174" s="11">
        <v>6.9000000000000006E-2</v>
      </c>
      <c r="P174">
        <v>20260719</v>
      </c>
      <c r="Q174">
        <v>46222.653275462966</v>
      </c>
    </row>
    <row r="175" spans="1:17" ht="30">
      <c r="A175" t="s">
        <v>547</v>
      </c>
      <c r="B175" t="s">
        <v>171</v>
      </c>
      <c r="C175" t="s">
        <v>23</v>
      </c>
      <c r="D175" t="s">
        <v>54</v>
      </c>
      <c r="E175" t="s">
        <v>46</v>
      </c>
      <c r="F175" t="s">
        <v>166</v>
      </c>
      <c r="G175" s="1" t="s">
        <v>172</v>
      </c>
      <c r="H175" s="1" t="s">
        <v>173</v>
      </c>
      <c r="I175" s="1" t="s">
        <v>548</v>
      </c>
      <c r="J175" t="s">
        <v>538</v>
      </c>
      <c r="K175">
        <v>27</v>
      </c>
      <c r="L175">
        <v>2</v>
      </c>
      <c r="M175">
        <v>0</v>
      </c>
      <c r="N175" s="11">
        <v>7.4074000000000001E-2</v>
      </c>
      <c r="O175" s="11">
        <v>6.9000000000000006E-2</v>
      </c>
      <c r="P175">
        <v>20260719</v>
      </c>
      <c r="Q175">
        <v>46222.653275462966</v>
      </c>
    </row>
    <row r="176" spans="1:17" ht="30">
      <c r="A176" t="s">
        <v>549</v>
      </c>
      <c r="B176" t="s">
        <v>176</v>
      </c>
      <c r="C176" t="s">
        <v>23</v>
      </c>
      <c r="D176" t="s">
        <v>54</v>
      </c>
      <c r="E176" t="s">
        <v>46</v>
      </c>
      <c r="F176" t="s">
        <v>166</v>
      </c>
      <c r="G176" s="1" t="s">
        <v>177</v>
      </c>
      <c r="H176" s="1" t="s">
        <v>178</v>
      </c>
      <c r="I176" s="1" t="s">
        <v>550</v>
      </c>
      <c r="J176" t="s">
        <v>538</v>
      </c>
      <c r="K176">
        <v>27</v>
      </c>
      <c r="L176">
        <v>2</v>
      </c>
      <c r="M176">
        <v>0</v>
      </c>
      <c r="N176" s="11">
        <v>7.4074000000000001E-2</v>
      </c>
      <c r="O176" s="11">
        <v>6.9000000000000006E-2</v>
      </c>
      <c r="P176">
        <v>20260719</v>
      </c>
      <c r="Q176">
        <v>46222.653275462966</v>
      </c>
    </row>
    <row r="177" spans="1:17" ht="30">
      <c r="A177" t="s">
        <v>551</v>
      </c>
      <c r="B177" t="s">
        <v>181</v>
      </c>
      <c r="C177" t="s">
        <v>23</v>
      </c>
      <c r="D177" t="s">
        <v>54</v>
      </c>
      <c r="E177" t="s">
        <v>46</v>
      </c>
      <c r="F177" t="s">
        <v>166</v>
      </c>
      <c r="G177" s="1" t="s">
        <v>182</v>
      </c>
      <c r="H177" s="1" t="s">
        <v>183</v>
      </c>
      <c r="I177" s="1" t="s">
        <v>552</v>
      </c>
      <c r="J177" t="s">
        <v>538</v>
      </c>
      <c r="K177">
        <v>25</v>
      </c>
      <c r="L177">
        <v>2</v>
      </c>
      <c r="M177">
        <v>0</v>
      </c>
      <c r="N177" s="11">
        <v>0.08</v>
      </c>
      <c r="O177" s="11">
        <v>6.9000000000000006E-2</v>
      </c>
      <c r="P177">
        <v>20260719</v>
      </c>
      <c r="Q177">
        <v>46222.653275462966</v>
      </c>
    </row>
    <row r="178" spans="1:17" ht="30">
      <c r="A178" t="s">
        <v>553</v>
      </c>
      <c r="B178" t="s">
        <v>186</v>
      </c>
      <c r="C178" t="s">
        <v>23</v>
      </c>
      <c r="D178" t="s">
        <v>54</v>
      </c>
      <c r="E178" t="s">
        <v>46</v>
      </c>
      <c r="F178" t="s">
        <v>187</v>
      </c>
      <c r="G178" s="1" t="s">
        <v>188</v>
      </c>
      <c r="H178" s="1" t="s">
        <v>189</v>
      </c>
      <c r="I178" s="1" t="s">
        <v>554</v>
      </c>
      <c r="J178" t="s">
        <v>538</v>
      </c>
      <c r="K178">
        <v>32</v>
      </c>
      <c r="L178">
        <v>2</v>
      </c>
      <c r="M178">
        <v>0</v>
      </c>
      <c r="N178" s="11">
        <v>6.25E-2</v>
      </c>
      <c r="O178" s="11">
        <v>6.9000000000000006E-2</v>
      </c>
      <c r="P178">
        <v>20260719</v>
      </c>
      <c r="Q178">
        <v>46222.653275462966</v>
      </c>
    </row>
    <row r="179" spans="1:17" ht="30">
      <c r="A179" t="s">
        <v>555</v>
      </c>
      <c r="B179" t="s">
        <v>192</v>
      </c>
      <c r="C179" t="s">
        <v>23</v>
      </c>
      <c r="D179" t="s">
        <v>54</v>
      </c>
      <c r="E179" t="s">
        <v>46</v>
      </c>
      <c r="F179" t="s">
        <v>187</v>
      </c>
      <c r="G179" s="1" t="s">
        <v>193</v>
      </c>
      <c r="H179" s="1" t="s">
        <v>194</v>
      </c>
      <c r="I179" s="1" t="s">
        <v>556</v>
      </c>
      <c r="J179" t="s">
        <v>475</v>
      </c>
      <c r="K179">
        <v>26</v>
      </c>
      <c r="L179">
        <v>1</v>
      </c>
      <c r="M179">
        <v>0</v>
      </c>
      <c r="N179" s="11">
        <v>3.8462000000000003E-2</v>
      </c>
      <c r="O179" s="11">
        <v>6.9000000000000006E-2</v>
      </c>
      <c r="P179">
        <v>20260719</v>
      </c>
      <c r="Q179">
        <v>46222.653275462966</v>
      </c>
    </row>
    <row r="180" spans="1:17" ht="45">
      <c r="A180" t="s">
        <v>557</v>
      </c>
      <c r="B180" t="s">
        <v>197</v>
      </c>
      <c r="C180" t="s">
        <v>23</v>
      </c>
      <c r="D180" t="s">
        <v>54</v>
      </c>
      <c r="E180" t="s">
        <v>46</v>
      </c>
      <c r="F180" t="s">
        <v>187</v>
      </c>
      <c r="G180" s="1" t="s">
        <v>198</v>
      </c>
      <c r="H180" s="1" t="s">
        <v>199</v>
      </c>
      <c r="I180" s="1" t="s">
        <v>558</v>
      </c>
      <c r="J180" t="s">
        <v>538</v>
      </c>
      <c r="K180">
        <v>28</v>
      </c>
      <c r="L180">
        <v>2</v>
      </c>
      <c r="M180">
        <v>0</v>
      </c>
      <c r="N180" s="11">
        <v>7.1429000000000006E-2</v>
      </c>
      <c r="O180" s="11">
        <v>6.9000000000000006E-2</v>
      </c>
      <c r="P180">
        <v>20260719</v>
      </c>
      <c r="Q180">
        <v>46222.653275462966</v>
      </c>
    </row>
    <row r="181" spans="1:17" ht="30">
      <c r="A181" t="s">
        <v>559</v>
      </c>
      <c r="B181" t="s">
        <v>202</v>
      </c>
      <c r="C181" t="s">
        <v>23</v>
      </c>
      <c r="D181" t="s">
        <v>54</v>
      </c>
      <c r="E181" t="s">
        <v>46</v>
      </c>
      <c r="F181" t="s">
        <v>187</v>
      </c>
      <c r="G181" s="1" t="s">
        <v>203</v>
      </c>
      <c r="H181" s="1" t="s">
        <v>204</v>
      </c>
      <c r="I181" s="1" t="s">
        <v>560</v>
      </c>
      <c r="J181" t="s">
        <v>538</v>
      </c>
      <c r="K181">
        <v>28</v>
      </c>
      <c r="L181">
        <v>2</v>
      </c>
      <c r="M181">
        <v>0</v>
      </c>
      <c r="N181" s="11">
        <v>7.1429000000000006E-2</v>
      </c>
      <c r="O181" s="11">
        <v>6.9000000000000006E-2</v>
      </c>
      <c r="P181">
        <v>20260719</v>
      </c>
      <c r="Q181">
        <v>46222.653275462966</v>
      </c>
    </row>
    <row r="182" spans="1:17" ht="30">
      <c r="A182" t="s">
        <v>561</v>
      </c>
      <c r="B182" t="s">
        <v>207</v>
      </c>
      <c r="C182" t="s">
        <v>23</v>
      </c>
      <c r="D182" t="s">
        <v>54</v>
      </c>
      <c r="E182" t="s">
        <v>46</v>
      </c>
      <c r="F182" t="s">
        <v>208</v>
      </c>
      <c r="G182" s="1" t="s">
        <v>209</v>
      </c>
      <c r="H182" s="1" t="s">
        <v>210</v>
      </c>
      <c r="I182" s="1" t="s">
        <v>562</v>
      </c>
      <c r="J182" t="s">
        <v>538</v>
      </c>
      <c r="K182">
        <v>29</v>
      </c>
      <c r="L182">
        <v>2</v>
      </c>
      <c r="M182">
        <v>0</v>
      </c>
      <c r="N182" s="11">
        <v>6.8966E-2</v>
      </c>
      <c r="O182" s="11">
        <v>6.9000000000000006E-2</v>
      </c>
      <c r="P182">
        <v>20260719</v>
      </c>
      <c r="Q182">
        <v>46222.653275462966</v>
      </c>
    </row>
    <row r="183" spans="1:17" ht="30">
      <c r="A183" t="s">
        <v>563</v>
      </c>
      <c r="B183" t="s">
        <v>213</v>
      </c>
      <c r="C183" t="s">
        <v>23</v>
      </c>
      <c r="D183" t="s">
        <v>54</v>
      </c>
      <c r="E183" t="s">
        <v>46</v>
      </c>
      <c r="F183" t="s">
        <v>208</v>
      </c>
      <c r="G183" s="1" t="s">
        <v>214</v>
      </c>
      <c r="H183" s="1" t="s">
        <v>215</v>
      </c>
      <c r="I183" s="1" t="s">
        <v>564</v>
      </c>
      <c r="J183" t="s">
        <v>538</v>
      </c>
      <c r="K183">
        <v>26</v>
      </c>
      <c r="L183">
        <v>2</v>
      </c>
      <c r="M183">
        <v>0</v>
      </c>
      <c r="N183" s="11">
        <v>7.6923000000000005E-2</v>
      </c>
      <c r="O183" s="11">
        <v>6.9000000000000006E-2</v>
      </c>
      <c r="P183">
        <v>20260719</v>
      </c>
      <c r="Q183">
        <v>46222.653275462966</v>
      </c>
    </row>
    <row r="184" spans="1:17" ht="30">
      <c r="A184" t="s">
        <v>565</v>
      </c>
      <c r="B184" t="s">
        <v>218</v>
      </c>
      <c r="C184" t="s">
        <v>23</v>
      </c>
      <c r="D184" t="s">
        <v>54</v>
      </c>
      <c r="E184" t="s">
        <v>46</v>
      </c>
      <c r="F184" t="s">
        <v>208</v>
      </c>
      <c r="G184" s="1" t="s">
        <v>219</v>
      </c>
      <c r="H184" s="1" t="s">
        <v>220</v>
      </c>
      <c r="I184" s="1" t="s">
        <v>566</v>
      </c>
      <c r="J184" t="s">
        <v>475</v>
      </c>
      <c r="K184">
        <v>28</v>
      </c>
      <c r="L184">
        <v>1</v>
      </c>
      <c r="M184">
        <v>0</v>
      </c>
      <c r="N184" s="11">
        <v>3.5714000000000003E-2</v>
      </c>
      <c r="O184" s="11">
        <v>6.9000000000000006E-2</v>
      </c>
      <c r="P184">
        <v>20260719</v>
      </c>
      <c r="Q184">
        <v>46222.653275462966</v>
      </c>
    </row>
    <row r="185" spans="1:17" ht="30">
      <c r="A185" t="s">
        <v>567</v>
      </c>
      <c r="B185" t="s">
        <v>223</v>
      </c>
      <c r="C185" t="s">
        <v>23</v>
      </c>
      <c r="D185" t="s">
        <v>54</v>
      </c>
      <c r="E185" t="s">
        <v>46</v>
      </c>
      <c r="F185" t="s">
        <v>208</v>
      </c>
      <c r="G185" s="1" t="s">
        <v>224</v>
      </c>
      <c r="H185" s="1" t="s">
        <v>225</v>
      </c>
      <c r="I185" s="1" t="s">
        <v>568</v>
      </c>
      <c r="J185" t="s">
        <v>538</v>
      </c>
      <c r="K185">
        <v>29</v>
      </c>
      <c r="L185">
        <v>2</v>
      </c>
      <c r="M185">
        <v>0</v>
      </c>
      <c r="N185" s="11">
        <v>6.8966E-2</v>
      </c>
      <c r="O185" s="11">
        <v>6.9000000000000006E-2</v>
      </c>
      <c r="P185">
        <v>20260719</v>
      </c>
      <c r="Q185">
        <v>46222.653275462966</v>
      </c>
    </row>
    <row r="186" spans="1:17" ht="30">
      <c r="A186" t="s">
        <v>569</v>
      </c>
      <c r="B186" t="s">
        <v>228</v>
      </c>
      <c r="C186" t="s">
        <v>23</v>
      </c>
      <c r="D186" t="s">
        <v>54</v>
      </c>
      <c r="E186" t="s">
        <v>46</v>
      </c>
      <c r="F186" t="s">
        <v>229</v>
      </c>
      <c r="G186" s="1" t="s">
        <v>230</v>
      </c>
      <c r="H186" s="1" t="s">
        <v>231</v>
      </c>
      <c r="I186" s="1" t="s">
        <v>570</v>
      </c>
      <c r="J186" t="s">
        <v>538</v>
      </c>
      <c r="K186">
        <v>25</v>
      </c>
      <c r="L186">
        <v>2</v>
      </c>
      <c r="M186">
        <v>0</v>
      </c>
      <c r="N186" s="11">
        <v>0.08</v>
      </c>
      <c r="O186" s="11">
        <v>6.9000000000000006E-2</v>
      </c>
      <c r="P186">
        <v>20260719</v>
      </c>
      <c r="Q186">
        <v>46222.653275462966</v>
      </c>
    </row>
    <row r="187" spans="1:17" ht="30">
      <c r="A187" t="s">
        <v>571</v>
      </c>
      <c r="B187" t="s">
        <v>234</v>
      </c>
      <c r="C187" t="s">
        <v>23</v>
      </c>
      <c r="D187" t="s">
        <v>54</v>
      </c>
      <c r="E187" t="s">
        <v>46</v>
      </c>
      <c r="F187" t="s">
        <v>229</v>
      </c>
      <c r="G187" s="1" t="s">
        <v>235</v>
      </c>
      <c r="H187" s="1" t="s">
        <v>236</v>
      </c>
      <c r="I187" s="1" t="s">
        <v>572</v>
      </c>
      <c r="J187" t="s">
        <v>538</v>
      </c>
      <c r="K187">
        <v>31</v>
      </c>
      <c r="L187">
        <v>2</v>
      </c>
      <c r="M187">
        <v>0</v>
      </c>
      <c r="N187" s="11">
        <v>6.4516000000000004E-2</v>
      </c>
      <c r="O187" s="11">
        <v>6.9000000000000006E-2</v>
      </c>
      <c r="P187">
        <v>20260719</v>
      </c>
      <c r="Q187">
        <v>46222.653275462966</v>
      </c>
    </row>
    <row r="188" spans="1:17" ht="30">
      <c r="A188" t="s">
        <v>573</v>
      </c>
      <c r="B188" t="s">
        <v>239</v>
      </c>
      <c r="C188" t="s">
        <v>23</v>
      </c>
      <c r="D188" t="s">
        <v>54</v>
      </c>
      <c r="E188" t="s">
        <v>46</v>
      </c>
      <c r="F188" t="s">
        <v>229</v>
      </c>
      <c r="G188" s="1" t="s">
        <v>240</v>
      </c>
      <c r="H188" s="1" t="s">
        <v>241</v>
      </c>
      <c r="I188" s="1" t="s">
        <v>574</v>
      </c>
      <c r="J188" t="s">
        <v>538</v>
      </c>
      <c r="K188">
        <v>29</v>
      </c>
      <c r="L188">
        <v>2</v>
      </c>
      <c r="M188">
        <v>0</v>
      </c>
      <c r="N188" s="11">
        <v>6.8966E-2</v>
      </c>
      <c r="O188" s="11">
        <v>6.9000000000000006E-2</v>
      </c>
      <c r="P188">
        <v>20260719</v>
      </c>
      <c r="Q188">
        <v>46222.653275462966</v>
      </c>
    </row>
    <row r="189" spans="1:17" ht="30">
      <c r="A189" t="s">
        <v>575</v>
      </c>
      <c r="B189" t="s">
        <v>244</v>
      </c>
      <c r="C189" t="s">
        <v>23</v>
      </c>
      <c r="D189" t="s">
        <v>54</v>
      </c>
      <c r="E189" t="s">
        <v>46</v>
      </c>
      <c r="F189" t="s">
        <v>229</v>
      </c>
      <c r="G189" s="1" t="s">
        <v>245</v>
      </c>
      <c r="H189" s="1" t="s">
        <v>246</v>
      </c>
      <c r="I189" s="1" t="s">
        <v>576</v>
      </c>
      <c r="J189" t="s">
        <v>475</v>
      </c>
      <c r="K189">
        <v>27</v>
      </c>
      <c r="L189">
        <v>1</v>
      </c>
      <c r="M189">
        <v>0</v>
      </c>
      <c r="N189" s="11">
        <v>3.7037E-2</v>
      </c>
      <c r="O189" s="11">
        <v>6.9000000000000006E-2</v>
      </c>
      <c r="P189">
        <v>20260719</v>
      </c>
      <c r="Q189">
        <v>46222.653275462966</v>
      </c>
    </row>
    <row r="190" spans="1:17" ht="30">
      <c r="A190" t="s">
        <v>577</v>
      </c>
      <c r="B190" t="s">
        <v>249</v>
      </c>
      <c r="C190" t="s">
        <v>23</v>
      </c>
      <c r="D190" t="s">
        <v>54</v>
      </c>
      <c r="E190" t="s">
        <v>46</v>
      </c>
      <c r="F190" t="s">
        <v>250</v>
      </c>
      <c r="G190" s="1" t="s">
        <v>251</v>
      </c>
      <c r="H190" s="1" t="s">
        <v>252</v>
      </c>
      <c r="I190" s="1" t="s">
        <v>578</v>
      </c>
      <c r="J190" t="s">
        <v>538</v>
      </c>
      <c r="K190">
        <v>24</v>
      </c>
      <c r="L190">
        <v>2</v>
      </c>
      <c r="M190">
        <v>0</v>
      </c>
      <c r="N190" s="11">
        <v>8.3333000000000004E-2</v>
      </c>
      <c r="O190" s="11">
        <v>6.9000000000000006E-2</v>
      </c>
      <c r="P190">
        <v>20260719</v>
      </c>
      <c r="Q190">
        <v>46222.653275462966</v>
      </c>
    </row>
    <row r="191" spans="1:17" ht="30">
      <c r="A191" t="s">
        <v>579</v>
      </c>
      <c r="B191" t="s">
        <v>255</v>
      </c>
      <c r="C191" t="s">
        <v>23</v>
      </c>
      <c r="D191" t="s">
        <v>54</v>
      </c>
      <c r="E191" t="s">
        <v>46</v>
      </c>
      <c r="F191" t="s">
        <v>250</v>
      </c>
      <c r="G191" s="1" t="s">
        <v>256</v>
      </c>
      <c r="H191" s="1" t="s">
        <v>257</v>
      </c>
      <c r="I191" s="1" t="s">
        <v>580</v>
      </c>
      <c r="J191" t="s">
        <v>538</v>
      </c>
      <c r="K191">
        <v>29</v>
      </c>
      <c r="L191">
        <v>2</v>
      </c>
      <c r="M191">
        <v>0</v>
      </c>
      <c r="N191" s="11">
        <v>6.8966E-2</v>
      </c>
      <c r="O191" s="11">
        <v>6.9000000000000006E-2</v>
      </c>
      <c r="P191">
        <v>20260719</v>
      </c>
      <c r="Q191">
        <v>46222.653275462966</v>
      </c>
    </row>
    <row r="192" spans="1:17" ht="30">
      <c r="A192" t="s">
        <v>581</v>
      </c>
      <c r="B192" t="s">
        <v>260</v>
      </c>
      <c r="C192" t="s">
        <v>23</v>
      </c>
      <c r="D192" t="s">
        <v>54</v>
      </c>
      <c r="E192" t="s">
        <v>46</v>
      </c>
      <c r="F192" t="s">
        <v>250</v>
      </c>
      <c r="G192" s="1" t="s">
        <v>261</v>
      </c>
      <c r="H192" s="1" t="s">
        <v>262</v>
      </c>
      <c r="I192" s="1" t="s">
        <v>582</v>
      </c>
      <c r="J192" t="s">
        <v>538</v>
      </c>
      <c r="K192">
        <v>24</v>
      </c>
      <c r="L192">
        <v>2</v>
      </c>
      <c r="M192">
        <v>0</v>
      </c>
      <c r="N192" s="11">
        <v>8.3333000000000004E-2</v>
      </c>
      <c r="O192" s="11">
        <v>6.9000000000000006E-2</v>
      </c>
      <c r="P192">
        <v>20260719</v>
      </c>
      <c r="Q192">
        <v>46222.653275462966</v>
      </c>
    </row>
    <row r="193" spans="1:17" ht="30">
      <c r="A193" t="s">
        <v>583</v>
      </c>
      <c r="B193" t="s">
        <v>265</v>
      </c>
      <c r="C193" t="s">
        <v>23</v>
      </c>
      <c r="D193" t="s">
        <v>54</v>
      </c>
      <c r="E193" t="s">
        <v>46</v>
      </c>
      <c r="F193" t="s">
        <v>250</v>
      </c>
      <c r="G193" s="1" t="s">
        <v>266</v>
      </c>
      <c r="H193" s="1" t="s">
        <v>267</v>
      </c>
      <c r="I193" s="1" t="s">
        <v>584</v>
      </c>
      <c r="J193" t="s">
        <v>538</v>
      </c>
      <c r="K193">
        <v>29</v>
      </c>
      <c r="L193">
        <v>2</v>
      </c>
      <c r="M193">
        <v>0</v>
      </c>
      <c r="N193" s="11">
        <v>6.8966E-2</v>
      </c>
      <c r="O193" s="11">
        <v>6.9000000000000006E-2</v>
      </c>
      <c r="P193">
        <v>20260719</v>
      </c>
      <c r="Q193">
        <v>46222.653275462966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77"/>
  <sheetViews>
    <sheetView workbookViewId="0">
      <selection sqref="A1:A1048576"/>
    </sheetView>
  </sheetViews>
  <sheetFormatPr baseColWidth="10" defaultColWidth="8.83203125" defaultRowHeight="14"/>
  <cols>
    <col min="1" max="3" width="16" customWidth="1"/>
    <col min="4" max="4" width="38" customWidth="1"/>
    <col min="5" max="5" width="19" customWidth="1"/>
    <col min="6" max="6" width="39" customWidth="1"/>
    <col min="7" max="7" width="46" customWidth="1"/>
    <col min="8" max="8" width="74" customWidth="1"/>
    <col min="9" max="13" width="15" customWidth="1"/>
    <col min="14" max="19" width="24" customWidth="1"/>
    <col min="20" max="20" width="62" customWidth="1"/>
    <col min="21" max="23" width="25" customWidth="1"/>
  </cols>
  <sheetData>
    <row r="1" spans="1:23" ht="16">
      <c r="A1" s="5" t="s">
        <v>124</v>
      </c>
      <c r="B1" s="5" t="s">
        <v>125</v>
      </c>
      <c r="C1" s="5" t="s">
        <v>126</v>
      </c>
      <c r="D1" s="5" t="s">
        <v>127</v>
      </c>
      <c r="E1" s="5" t="s">
        <v>129</v>
      </c>
      <c r="F1" s="5" t="s">
        <v>130</v>
      </c>
      <c r="G1" s="5" t="s">
        <v>131</v>
      </c>
      <c r="H1" s="5" t="s">
        <v>132</v>
      </c>
      <c r="I1" s="5" t="s">
        <v>134</v>
      </c>
      <c r="J1" s="5" t="s">
        <v>135</v>
      </c>
      <c r="K1" s="5" t="s">
        <v>136</v>
      </c>
      <c r="L1" s="5" t="s">
        <v>137</v>
      </c>
      <c r="M1" s="5" t="s">
        <v>585</v>
      </c>
      <c r="N1" s="5" t="s">
        <v>586</v>
      </c>
      <c r="O1" s="5" t="s">
        <v>587</v>
      </c>
      <c r="P1" s="5" t="s">
        <v>588</v>
      </c>
      <c r="Q1" s="5" t="s">
        <v>589</v>
      </c>
      <c r="R1" s="5" t="s">
        <v>590</v>
      </c>
      <c r="S1" s="5" t="s">
        <v>591</v>
      </c>
      <c r="T1" s="5" t="s">
        <v>592</v>
      </c>
      <c r="U1" s="5" t="s">
        <v>593</v>
      </c>
      <c r="V1" s="5" t="s">
        <v>139</v>
      </c>
      <c r="W1" s="5" t="s">
        <v>140</v>
      </c>
    </row>
    <row r="2" spans="1:23" ht="45">
      <c r="A2" t="s">
        <v>141</v>
      </c>
      <c r="B2" t="s">
        <v>142</v>
      </c>
      <c r="C2" t="s">
        <v>16</v>
      </c>
      <c r="D2" t="s">
        <v>43</v>
      </c>
      <c r="E2" t="s">
        <v>143</v>
      </c>
      <c r="F2" s="1" t="s">
        <v>144</v>
      </c>
      <c r="G2" s="1" t="s">
        <v>145</v>
      </c>
      <c r="H2" s="1" t="s">
        <v>146</v>
      </c>
      <c r="I2">
        <v>32</v>
      </c>
      <c r="J2">
        <v>0</v>
      </c>
      <c r="K2">
        <v>3</v>
      </c>
      <c r="L2" s="11">
        <v>-9.375E-2</v>
      </c>
      <c r="M2" t="s">
        <v>594</v>
      </c>
      <c r="N2" s="12">
        <v>0</v>
      </c>
      <c r="O2" s="12">
        <v>3</v>
      </c>
      <c r="P2" s="12">
        <v>3</v>
      </c>
      <c r="Q2" s="12">
        <v>0</v>
      </c>
      <c r="R2" s="12">
        <v>3</v>
      </c>
      <c r="S2" s="12">
        <v>3</v>
      </c>
      <c r="T2" s="1" t="s">
        <v>595</v>
      </c>
      <c r="U2" s="1" t="s">
        <v>596</v>
      </c>
      <c r="V2">
        <v>20260719</v>
      </c>
      <c r="W2">
        <v>46222.653275462966</v>
      </c>
    </row>
    <row r="3" spans="1:23" ht="45">
      <c r="A3" t="s">
        <v>141</v>
      </c>
      <c r="B3" t="s">
        <v>142</v>
      </c>
      <c r="C3" t="s">
        <v>16</v>
      </c>
      <c r="D3" t="s">
        <v>43</v>
      </c>
      <c r="E3" t="s">
        <v>143</v>
      </c>
      <c r="F3" s="1" t="s">
        <v>144</v>
      </c>
      <c r="G3" s="1" t="s">
        <v>145</v>
      </c>
      <c r="H3" s="1" t="s">
        <v>146</v>
      </c>
      <c r="I3">
        <v>32</v>
      </c>
      <c r="J3">
        <v>0</v>
      </c>
      <c r="K3">
        <v>3</v>
      </c>
      <c r="L3" s="11">
        <v>-9.375E-2</v>
      </c>
      <c r="M3" t="s">
        <v>597</v>
      </c>
      <c r="N3" s="12">
        <v>0</v>
      </c>
      <c r="O3" s="12">
        <v>2</v>
      </c>
      <c r="P3" s="12">
        <v>2</v>
      </c>
      <c r="Q3" s="12">
        <v>0</v>
      </c>
      <c r="R3" s="12">
        <v>3</v>
      </c>
      <c r="S3" s="12">
        <v>2</v>
      </c>
      <c r="T3" s="1" t="s">
        <v>595</v>
      </c>
      <c r="U3" s="1" t="s">
        <v>596</v>
      </c>
      <c r="V3">
        <v>20260719</v>
      </c>
      <c r="W3">
        <v>46222.653275462966</v>
      </c>
    </row>
    <row r="4" spans="1:23" ht="45">
      <c r="A4" t="s">
        <v>141</v>
      </c>
      <c r="B4" t="s">
        <v>142</v>
      </c>
      <c r="C4" t="s">
        <v>16</v>
      </c>
      <c r="D4" t="s">
        <v>43</v>
      </c>
      <c r="E4" t="s">
        <v>143</v>
      </c>
      <c r="F4" s="1" t="s">
        <v>144</v>
      </c>
      <c r="G4" s="1" t="s">
        <v>145</v>
      </c>
      <c r="H4" s="1" t="s">
        <v>146</v>
      </c>
      <c r="I4">
        <v>32</v>
      </c>
      <c r="J4">
        <v>0</v>
      </c>
      <c r="K4">
        <v>3</v>
      </c>
      <c r="L4" s="11">
        <v>-9.375E-2</v>
      </c>
      <c r="M4" t="s">
        <v>598</v>
      </c>
      <c r="N4" s="12">
        <v>0</v>
      </c>
      <c r="O4" s="12">
        <v>3</v>
      </c>
      <c r="P4" s="12">
        <v>3</v>
      </c>
      <c r="Q4" s="12">
        <v>0</v>
      </c>
      <c r="R4" s="12">
        <v>3</v>
      </c>
      <c r="S4" s="12">
        <v>2</v>
      </c>
      <c r="T4" s="1" t="s">
        <v>595</v>
      </c>
      <c r="U4" s="1" t="s">
        <v>596</v>
      </c>
      <c r="V4">
        <v>20260719</v>
      </c>
      <c r="W4">
        <v>46222.653275462966</v>
      </c>
    </row>
    <row r="5" spans="1:23" ht="45">
      <c r="A5" t="s">
        <v>148</v>
      </c>
      <c r="B5" t="s">
        <v>149</v>
      </c>
      <c r="C5" t="s">
        <v>16</v>
      </c>
      <c r="D5" t="s">
        <v>43</v>
      </c>
      <c r="E5" t="s">
        <v>143</v>
      </c>
      <c r="F5" s="1" t="s">
        <v>150</v>
      </c>
      <c r="G5" s="1" t="s">
        <v>151</v>
      </c>
      <c r="H5" s="1" t="s">
        <v>152</v>
      </c>
      <c r="I5">
        <v>32</v>
      </c>
      <c r="J5">
        <v>0</v>
      </c>
      <c r="K5">
        <v>3</v>
      </c>
      <c r="L5" s="11">
        <v>-9.375E-2</v>
      </c>
      <c r="M5" t="s">
        <v>594</v>
      </c>
      <c r="N5" s="12">
        <v>0</v>
      </c>
      <c r="O5" s="12">
        <v>3</v>
      </c>
      <c r="P5" s="12">
        <v>3</v>
      </c>
      <c r="Q5" s="12">
        <v>1</v>
      </c>
      <c r="R5" s="12">
        <v>2</v>
      </c>
      <c r="S5" s="12">
        <v>3</v>
      </c>
      <c r="T5" s="1" t="s">
        <v>595</v>
      </c>
      <c r="U5" s="1" t="s">
        <v>596</v>
      </c>
      <c r="V5">
        <v>20260719</v>
      </c>
      <c r="W5">
        <v>46222.653275462966</v>
      </c>
    </row>
    <row r="6" spans="1:23" ht="45">
      <c r="A6" t="s">
        <v>148</v>
      </c>
      <c r="B6" t="s">
        <v>149</v>
      </c>
      <c r="C6" t="s">
        <v>16</v>
      </c>
      <c r="D6" t="s">
        <v>43</v>
      </c>
      <c r="E6" t="s">
        <v>143</v>
      </c>
      <c r="F6" s="1" t="s">
        <v>150</v>
      </c>
      <c r="G6" s="1" t="s">
        <v>151</v>
      </c>
      <c r="H6" s="1" t="s">
        <v>152</v>
      </c>
      <c r="I6">
        <v>32</v>
      </c>
      <c r="J6">
        <v>0</v>
      </c>
      <c r="K6">
        <v>3</v>
      </c>
      <c r="L6" s="11">
        <v>-9.375E-2</v>
      </c>
      <c r="M6" t="s">
        <v>597</v>
      </c>
      <c r="N6" s="12">
        <v>1</v>
      </c>
      <c r="O6" s="12">
        <v>3</v>
      </c>
      <c r="P6" s="12">
        <v>3</v>
      </c>
      <c r="Q6" s="12">
        <v>0</v>
      </c>
      <c r="R6" s="12">
        <v>2</v>
      </c>
      <c r="S6" s="12">
        <v>3</v>
      </c>
      <c r="T6" s="1" t="s">
        <v>595</v>
      </c>
      <c r="U6" s="1" t="s">
        <v>596</v>
      </c>
      <c r="V6">
        <v>20260719</v>
      </c>
      <c r="W6">
        <v>46222.653275462966</v>
      </c>
    </row>
    <row r="7" spans="1:23" ht="45">
      <c r="A7" t="s">
        <v>148</v>
      </c>
      <c r="B7" t="s">
        <v>149</v>
      </c>
      <c r="C7" t="s">
        <v>16</v>
      </c>
      <c r="D7" t="s">
        <v>43</v>
      </c>
      <c r="E7" t="s">
        <v>143</v>
      </c>
      <c r="F7" s="1" t="s">
        <v>150</v>
      </c>
      <c r="G7" s="1" t="s">
        <v>151</v>
      </c>
      <c r="H7" s="1" t="s">
        <v>152</v>
      </c>
      <c r="I7">
        <v>32</v>
      </c>
      <c r="J7">
        <v>0</v>
      </c>
      <c r="K7">
        <v>3</v>
      </c>
      <c r="L7" s="11">
        <v>-9.375E-2</v>
      </c>
      <c r="M7" t="s">
        <v>598</v>
      </c>
      <c r="N7" s="12">
        <v>1</v>
      </c>
      <c r="O7" s="12">
        <v>3</v>
      </c>
      <c r="P7" s="12">
        <v>3</v>
      </c>
      <c r="Q7" s="12">
        <v>1</v>
      </c>
      <c r="R7" s="12">
        <v>3</v>
      </c>
      <c r="S7" s="12">
        <v>3</v>
      </c>
      <c r="T7" s="1" t="s">
        <v>595</v>
      </c>
      <c r="U7" s="1" t="s">
        <v>596</v>
      </c>
      <c r="V7">
        <v>20260719</v>
      </c>
      <c r="W7">
        <v>46222.653275462966</v>
      </c>
    </row>
    <row r="8" spans="1:23" ht="45">
      <c r="A8" t="s">
        <v>153</v>
      </c>
      <c r="B8" t="s">
        <v>154</v>
      </c>
      <c r="C8" t="s">
        <v>16</v>
      </c>
      <c r="D8" t="s">
        <v>43</v>
      </c>
      <c r="E8" t="s">
        <v>143</v>
      </c>
      <c r="F8" s="1" t="s">
        <v>155</v>
      </c>
      <c r="G8" s="1" t="s">
        <v>156</v>
      </c>
      <c r="H8" s="1" t="s">
        <v>157</v>
      </c>
      <c r="I8">
        <v>33</v>
      </c>
      <c r="J8">
        <v>0</v>
      </c>
      <c r="K8">
        <v>4</v>
      </c>
      <c r="L8" s="11">
        <v>-0.121212</v>
      </c>
      <c r="M8" t="s">
        <v>594</v>
      </c>
      <c r="N8" s="12">
        <v>1</v>
      </c>
      <c r="O8" s="12">
        <v>3</v>
      </c>
      <c r="P8" s="12">
        <v>3</v>
      </c>
      <c r="Q8" s="12">
        <v>0</v>
      </c>
      <c r="R8" s="12">
        <v>3</v>
      </c>
      <c r="S8" s="12">
        <v>3</v>
      </c>
      <c r="T8" s="1" t="s">
        <v>595</v>
      </c>
      <c r="U8" s="1" t="s">
        <v>596</v>
      </c>
      <c r="V8">
        <v>20260719</v>
      </c>
      <c r="W8">
        <v>46222.653275462966</v>
      </c>
    </row>
    <row r="9" spans="1:23" ht="45">
      <c r="A9" t="s">
        <v>153</v>
      </c>
      <c r="B9" t="s">
        <v>154</v>
      </c>
      <c r="C9" t="s">
        <v>16</v>
      </c>
      <c r="D9" t="s">
        <v>43</v>
      </c>
      <c r="E9" t="s">
        <v>143</v>
      </c>
      <c r="F9" s="1" t="s">
        <v>155</v>
      </c>
      <c r="G9" s="1" t="s">
        <v>156</v>
      </c>
      <c r="H9" s="1" t="s">
        <v>157</v>
      </c>
      <c r="I9">
        <v>33</v>
      </c>
      <c r="J9">
        <v>0</v>
      </c>
      <c r="K9">
        <v>4</v>
      </c>
      <c r="L9" s="11">
        <v>-0.121212</v>
      </c>
      <c r="M9" t="s">
        <v>597</v>
      </c>
      <c r="N9" s="12">
        <v>1</v>
      </c>
      <c r="O9" s="12">
        <v>3</v>
      </c>
      <c r="P9" s="12">
        <v>3</v>
      </c>
      <c r="Q9" s="12">
        <v>0</v>
      </c>
      <c r="R9" s="12">
        <v>3</v>
      </c>
      <c r="S9" s="12">
        <v>2</v>
      </c>
      <c r="T9" s="1" t="s">
        <v>595</v>
      </c>
      <c r="U9" s="1" t="s">
        <v>596</v>
      </c>
      <c r="V9">
        <v>20260719</v>
      </c>
      <c r="W9">
        <v>46222.653275462966</v>
      </c>
    </row>
    <row r="10" spans="1:23" ht="45">
      <c r="A10" t="s">
        <v>153</v>
      </c>
      <c r="B10" t="s">
        <v>154</v>
      </c>
      <c r="C10" t="s">
        <v>16</v>
      </c>
      <c r="D10" t="s">
        <v>43</v>
      </c>
      <c r="E10" t="s">
        <v>143</v>
      </c>
      <c r="F10" s="1" t="s">
        <v>155</v>
      </c>
      <c r="G10" s="1" t="s">
        <v>156</v>
      </c>
      <c r="H10" s="1" t="s">
        <v>157</v>
      </c>
      <c r="I10">
        <v>33</v>
      </c>
      <c r="J10">
        <v>0</v>
      </c>
      <c r="K10">
        <v>4</v>
      </c>
      <c r="L10" s="11">
        <v>-0.121212</v>
      </c>
      <c r="M10" t="s">
        <v>598</v>
      </c>
      <c r="N10" s="12">
        <v>1</v>
      </c>
      <c r="O10" s="12">
        <v>3</v>
      </c>
      <c r="P10" s="12">
        <v>3</v>
      </c>
      <c r="Q10" s="12">
        <v>0</v>
      </c>
      <c r="R10" s="12">
        <v>3</v>
      </c>
      <c r="S10" s="12">
        <v>3</v>
      </c>
      <c r="T10" s="1" t="s">
        <v>595</v>
      </c>
      <c r="U10" s="1" t="s">
        <v>596</v>
      </c>
      <c r="V10">
        <v>20260719</v>
      </c>
      <c r="W10">
        <v>46222.653275462966</v>
      </c>
    </row>
    <row r="11" spans="1:23" ht="45">
      <c r="A11" t="s">
        <v>159</v>
      </c>
      <c r="B11" t="s">
        <v>160</v>
      </c>
      <c r="C11" t="s">
        <v>16</v>
      </c>
      <c r="D11" t="s">
        <v>43</v>
      </c>
      <c r="E11" t="s">
        <v>143</v>
      </c>
      <c r="F11" s="1" t="s">
        <v>161</v>
      </c>
      <c r="G11" s="1" t="s">
        <v>162</v>
      </c>
      <c r="H11" s="1" t="s">
        <v>163</v>
      </c>
      <c r="I11">
        <v>31</v>
      </c>
      <c r="J11">
        <v>0</v>
      </c>
      <c r="K11">
        <v>3</v>
      </c>
      <c r="L11" s="11">
        <v>-9.6773999999999999E-2</v>
      </c>
      <c r="M11" t="s">
        <v>594</v>
      </c>
      <c r="N11" s="12">
        <v>1</v>
      </c>
      <c r="O11" s="12">
        <v>2</v>
      </c>
      <c r="P11" s="12">
        <v>2</v>
      </c>
      <c r="Q11" s="12">
        <v>0</v>
      </c>
      <c r="R11" s="12">
        <v>2</v>
      </c>
      <c r="S11" s="12">
        <v>2</v>
      </c>
      <c r="T11" s="1" t="s">
        <v>595</v>
      </c>
      <c r="U11" s="1" t="s">
        <v>596</v>
      </c>
      <c r="V11">
        <v>20260719</v>
      </c>
      <c r="W11">
        <v>46222.653275462966</v>
      </c>
    </row>
    <row r="12" spans="1:23" ht="45">
      <c r="A12" t="s">
        <v>159</v>
      </c>
      <c r="B12" t="s">
        <v>160</v>
      </c>
      <c r="C12" t="s">
        <v>16</v>
      </c>
      <c r="D12" t="s">
        <v>43</v>
      </c>
      <c r="E12" t="s">
        <v>143</v>
      </c>
      <c r="F12" s="1" t="s">
        <v>161</v>
      </c>
      <c r="G12" s="1" t="s">
        <v>162</v>
      </c>
      <c r="H12" s="1" t="s">
        <v>163</v>
      </c>
      <c r="I12">
        <v>31</v>
      </c>
      <c r="J12">
        <v>0</v>
      </c>
      <c r="K12">
        <v>3</v>
      </c>
      <c r="L12" s="11">
        <v>-9.6773999999999999E-2</v>
      </c>
      <c r="M12" t="s">
        <v>597</v>
      </c>
      <c r="N12" s="12">
        <v>0</v>
      </c>
      <c r="O12" s="12">
        <v>2</v>
      </c>
      <c r="P12" s="12">
        <v>2</v>
      </c>
      <c r="Q12" s="12">
        <v>1</v>
      </c>
      <c r="R12" s="12">
        <v>2</v>
      </c>
      <c r="S12" s="12">
        <v>1</v>
      </c>
      <c r="T12" s="1" t="s">
        <v>595</v>
      </c>
      <c r="U12" s="1" t="s">
        <v>596</v>
      </c>
      <c r="V12">
        <v>20260719</v>
      </c>
      <c r="W12">
        <v>46222.653275462966</v>
      </c>
    </row>
    <row r="13" spans="1:23" ht="45">
      <c r="A13" t="s">
        <v>159</v>
      </c>
      <c r="B13" t="s">
        <v>160</v>
      </c>
      <c r="C13" t="s">
        <v>16</v>
      </c>
      <c r="D13" t="s">
        <v>43</v>
      </c>
      <c r="E13" t="s">
        <v>143</v>
      </c>
      <c r="F13" s="1" t="s">
        <v>161</v>
      </c>
      <c r="G13" s="1" t="s">
        <v>162</v>
      </c>
      <c r="H13" s="1" t="s">
        <v>163</v>
      </c>
      <c r="I13">
        <v>31</v>
      </c>
      <c r="J13">
        <v>0</v>
      </c>
      <c r="K13">
        <v>3</v>
      </c>
      <c r="L13" s="11">
        <v>-9.6773999999999999E-2</v>
      </c>
      <c r="M13" t="s">
        <v>598</v>
      </c>
      <c r="N13" s="12">
        <v>1</v>
      </c>
      <c r="O13" s="12">
        <v>2</v>
      </c>
      <c r="P13" s="12">
        <v>2</v>
      </c>
      <c r="Q13" s="12">
        <v>1</v>
      </c>
      <c r="R13" s="12">
        <v>2</v>
      </c>
      <c r="S13" s="12">
        <v>1</v>
      </c>
      <c r="T13" s="1" t="s">
        <v>595</v>
      </c>
      <c r="U13" s="1" t="s">
        <v>596</v>
      </c>
      <c r="V13">
        <v>20260719</v>
      </c>
      <c r="W13">
        <v>46222.653275462966</v>
      </c>
    </row>
    <row r="14" spans="1:23" ht="45">
      <c r="A14" t="s">
        <v>164</v>
      </c>
      <c r="B14" t="s">
        <v>165</v>
      </c>
      <c r="C14" t="s">
        <v>16</v>
      </c>
      <c r="D14" t="s">
        <v>43</v>
      </c>
      <c r="E14" t="s">
        <v>166</v>
      </c>
      <c r="F14" s="1" t="s">
        <v>167</v>
      </c>
      <c r="G14" s="1" t="s">
        <v>168</v>
      </c>
      <c r="H14" s="1" t="s">
        <v>169</v>
      </c>
      <c r="I14">
        <v>33</v>
      </c>
      <c r="J14">
        <v>0</v>
      </c>
      <c r="K14">
        <v>3</v>
      </c>
      <c r="L14" s="11">
        <v>-9.0909000000000004E-2</v>
      </c>
      <c r="M14" t="s">
        <v>594</v>
      </c>
      <c r="N14" s="12">
        <v>0</v>
      </c>
      <c r="O14" s="12">
        <v>3</v>
      </c>
      <c r="P14" s="12">
        <v>2</v>
      </c>
      <c r="Q14" s="12">
        <v>1</v>
      </c>
      <c r="R14" s="12">
        <v>2</v>
      </c>
      <c r="S14" s="12">
        <v>2</v>
      </c>
      <c r="T14" s="1" t="s">
        <v>595</v>
      </c>
      <c r="U14" s="1" t="s">
        <v>596</v>
      </c>
      <c r="V14">
        <v>20260719</v>
      </c>
      <c r="W14">
        <v>46222.653275462966</v>
      </c>
    </row>
    <row r="15" spans="1:23" ht="45">
      <c r="A15" t="s">
        <v>164</v>
      </c>
      <c r="B15" t="s">
        <v>165</v>
      </c>
      <c r="C15" t="s">
        <v>16</v>
      </c>
      <c r="D15" t="s">
        <v>43</v>
      </c>
      <c r="E15" t="s">
        <v>166</v>
      </c>
      <c r="F15" s="1" t="s">
        <v>167</v>
      </c>
      <c r="G15" s="1" t="s">
        <v>168</v>
      </c>
      <c r="H15" s="1" t="s">
        <v>169</v>
      </c>
      <c r="I15">
        <v>33</v>
      </c>
      <c r="J15">
        <v>0</v>
      </c>
      <c r="K15">
        <v>3</v>
      </c>
      <c r="L15" s="11">
        <v>-9.0909000000000004E-2</v>
      </c>
      <c r="M15" t="s">
        <v>597</v>
      </c>
      <c r="N15" s="12">
        <v>0</v>
      </c>
      <c r="O15" s="12">
        <v>3</v>
      </c>
      <c r="P15" s="12">
        <v>2</v>
      </c>
      <c r="Q15" s="12">
        <v>0</v>
      </c>
      <c r="R15" s="12">
        <v>3</v>
      </c>
      <c r="S15" s="12">
        <v>3</v>
      </c>
      <c r="T15" s="1" t="s">
        <v>595</v>
      </c>
      <c r="U15" s="1" t="s">
        <v>596</v>
      </c>
      <c r="V15">
        <v>20260719</v>
      </c>
      <c r="W15">
        <v>46222.653275462966</v>
      </c>
    </row>
    <row r="16" spans="1:23" ht="45">
      <c r="A16" t="s">
        <v>164</v>
      </c>
      <c r="B16" t="s">
        <v>165</v>
      </c>
      <c r="C16" t="s">
        <v>16</v>
      </c>
      <c r="D16" t="s">
        <v>43</v>
      </c>
      <c r="E16" t="s">
        <v>166</v>
      </c>
      <c r="F16" s="1" t="s">
        <v>167</v>
      </c>
      <c r="G16" s="1" t="s">
        <v>168</v>
      </c>
      <c r="H16" s="1" t="s">
        <v>169</v>
      </c>
      <c r="I16">
        <v>33</v>
      </c>
      <c r="J16">
        <v>0</v>
      </c>
      <c r="K16">
        <v>3</v>
      </c>
      <c r="L16" s="11">
        <v>-9.0909000000000004E-2</v>
      </c>
      <c r="M16" t="s">
        <v>598</v>
      </c>
      <c r="N16" s="12">
        <v>1</v>
      </c>
      <c r="O16" s="12">
        <v>3</v>
      </c>
      <c r="P16" s="12">
        <v>3</v>
      </c>
      <c r="Q16" s="12">
        <v>1</v>
      </c>
      <c r="R16" s="12">
        <v>3</v>
      </c>
      <c r="S16" s="12">
        <v>3</v>
      </c>
      <c r="T16" s="1" t="s">
        <v>595</v>
      </c>
      <c r="U16" s="1" t="s">
        <v>596</v>
      </c>
      <c r="V16">
        <v>20260719</v>
      </c>
      <c r="W16">
        <v>46222.653275462966</v>
      </c>
    </row>
    <row r="17" spans="1:23" ht="45">
      <c r="A17" t="s">
        <v>170</v>
      </c>
      <c r="B17" t="s">
        <v>171</v>
      </c>
      <c r="C17" t="s">
        <v>16</v>
      </c>
      <c r="D17" t="s">
        <v>43</v>
      </c>
      <c r="E17" t="s">
        <v>166</v>
      </c>
      <c r="F17" s="1" t="s">
        <v>172</v>
      </c>
      <c r="G17" s="1" t="s">
        <v>173</v>
      </c>
      <c r="H17" s="1" t="s">
        <v>174</v>
      </c>
      <c r="I17">
        <v>32</v>
      </c>
      <c r="J17">
        <v>0</v>
      </c>
      <c r="K17">
        <v>3</v>
      </c>
      <c r="L17" s="11">
        <v>-9.375E-2</v>
      </c>
      <c r="M17" t="s">
        <v>594</v>
      </c>
      <c r="N17" s="12">
        <v>1</v>
      </c>
      <c r="O17" s="12">
        <v>3</v>
      </c>
      <c r="P17" s="12">
        <v>3</v>
      </c>
      <c r="Q17" s="12">
        <v>1</v>
      </c>
      <c r="R17" s="12">
        <v>3</v>
      </c>
      <c r="S17" s="12">
        <v>3</v>
      </c>
      <c r="T17" s="1" t="s">
        <v>595</v>
      </c>
      <c r="U17" s="1" t="s">
        <v>596</v>
      </c>
      <c r="V17">
        <v>20260719</v>
      </c>
      <c r="W17">
        <v>46222.653275462966</v>
      </c>
    </row>
    <row r="18" spans="1:23" ht="45">
      <c r="A18" t="s">
        <v>170</v>
      </c>
      <c r="B18" t="s">
        <v>171</v>
      </c>
      <c r="C18" t="s">
        <v>16</v>
      </c>
      <c r="D18" t="s">
        <v>43</v>
      </c>
      <c r="E18" t="s">
        <v>166</v>
      </c>
      <c r="F18" s="1" t="s">
        <v>172</v>
      </c>
      <c r="G18" s="1" t="s">
        <v>173</v>
      </c>
      <c r="H18" s="1" t="s">
        <v>174</v>
      </c>
      <c r="I18">
        <v>32</v>
      </c>
      <c r="J18">
        <v>0</v>
      </c>
      <c r="K18">
        <v>3</v>
      </c>
      <c r="L18" s="11">
        <v>-9.375E-2</v>
      </c>
      <c r="M18" t="s">
        <v>597</v>
      </c>
      <c r="N18" s="12">
        <v>1</v>
      </c>
      <c r="O18" s="12">
        <v>3</v>
      </c>
      <c r="P18" s="12">
        <v>3</v>
      </c>
      <c r="Q18" s="12">
        <v>1</v>
      </c>
      <c r="R18" s="12">
        <v>3</v>
      </c>
      <c r="S18" s="12">
        <v>3</v>
      </c>
      <c r="T18" s="1" t="s">
        <v>595</v>
      </c>
      <c r="U18" s="1" t="s">
        <v>596</v>
      </c>
      <c r="V18">
        <v>20260719</v>
      </c>
      <c r="W18">
        <v>46222.653275462966</v>
      </c>
    </row>
    <row r="19" spans="1:23" ht="45">
      <c r="A19" t="s">
        <v>170</v>
      </c>
      <c r="B19" t="s">
        <v>171</v>
      </c>
      <c r="C19" t="s">
        <v>16</v>
      </c>
      <c r="D19" t="s">
        <v>43</v>
      </c>
      <c r="E19" t="s">
        <v>166</v>
      </c>
      <c r="F19" s="1" t="s">
        <v>172</v>
      </c>
      <c r="G19" s="1" t="s">
        <v>173</v>
      </c>
      <c r="H19" s="1" t="s">
        <v>174</v>
      </c>
      <c r="I19">
        <v>32</v>
      </c>
      <c r="J19">
        <v>0</v>
      </c>
      <c r="K19">
        <v>3</v>
      </c>
      <c r="L19" s="11">
        <v>-9.375E-2</v>
      </c>
      <c r="M19" t="s">
        <v>598</v>
      </c>
      <c r="N19" s="12">
        <v>1</v>
      </c>
      <c r="O19" s="12">
        <v>3</v>
      </c>
      <c r="P19" s="12">
        <v>3</v>
      </c>
      <c r="Q19" s="12">
        <v>1</v>
      </c>
      <c r="R19" s="12">
        <v>3</v>
      </c>
      <c r="S19" s="12">
        <v>3</v>
      </c>
      <c r="T19" s="1" t="s">
        <v>595</v>
      </c>
      <c r="U19" s="1" t="s">
        <v>596</v>
      </c>
      <c r="V19">
        <v>20260719</v>
      </c>
      <c r="W19">
        <v>46222.653275462966</v>
      </c>
    </row>
    <row r="20" spans="1:23" ht="45">
      <c r="A20" t="s">
        <v>175</v>
      </c>
      <c r="B20" t="s">
        <v>176</v>
      </c>
      <c r="C20" t="s">
        <v>16</v>
      </c>
      <c r="D20" t="s">
        <v>43</v>
      </c>
      <c r="E20" t="s">
        <v>166</v>
      </c>
      <c r="F20" s="1" t="s">
        <v>177</v>
      </c>
      <c r="G20" s="1" t="s">
        <v>178</v>
      </c>
      <c r="H20" s="1" t="s">
        <v>179</v>
      </c>
      <c r="I20">
        <v>31</v>
      </c>
      <c r="J20">
        <v>0</v>
      </c>
      <c r="K20">
        <v>2</v>
      </c>
      <c r="L20" s="11">
        <v>-6.4516000000000004E-2</v>
      </c>
      <c r="M20" t="s">
        <v>594</v>
      </c>
      <c r="N20" s="12">
        <v>1</v>
      </c>
      <c r="O20" s="12">
        <v>3</v>
      </c>
      <c r="P20" s="12">
        <v>3</v>
      </c>
      <c r="Q20" s="12">
        <v>0</v>
      </c>
      <c r="R20" s="12">
        <v>3</v>
      </c>
      <c r="S20" s="12">
        <v>3</v>
      </c>
      <c r="T20" s="1" t="s">
        <v>595</v>
      </c>
      <c r="U20" s="1" t="s">
        <v>596</v>
      </c>
      <c r="V20">
        <v>20260719</v>
      </c>
      <c r="W20">
        <v>46222.653275462966</v>
      </c>
    </row>
    <row r="21" spans="1:23" ht="45">
      <c r="A21" t="s">
        <v>175</v>
      </c>
      <c r="B21" t="s">
        <v>176</v>
      </c>
      <c r="C21" t="s">
        <v>16</v>
      </c>
      <c r="D21" t="s">
        <v>43</v>
      </c>
      <c r="E21" t="s">
        <v>166</v>
      </c>
      <c r="F21" s="1" t="s">
        <v>177</v>
      </c>
      <c r="G21" s="1" t="s">
        <v>178</v>
      </c>
      <c r="H21" s="1" t="s">
        <v>179</v>
      </c>
      <c r="I21">
        <v>31</v>
      </c>
      <c r="J21">
        <v>0</v>
      </c>
      <c r="K21">
        <v>2</v>
      </c>
      <c r="L21" s="11">
        <v>-6.4516000000000004E-2</v>
      </c>
      <c r="M21" t="s">
        <v>597</v>
      </c>
      <c r="N21" s="12">
        <v>0</v>
      </c>
      <c r="O21" s="12">
        <v>3</v>
      </c>
      <c r="P21" s="12">
        <v>2</v>
      </c>
      <c r="Q21" s="12">
        <v>1</v>
      </c>
      <c r="R21" s="12">
        <v>3</v>
      </c>
      <c r="S21" s="12">
        <v>2</v>
      </c>
      <c r="T21" s="1" t="s">
        <v>595</v>
      </c>
      <c r="U21" s="1" t="s">
        <v>596</v>
      </c>
      <c r="V21">
        <v>20260719</v>
      </c>
      <c r="W21">
        <v>46222.653275462966</v>
      </c>
    </row>
    <row r="22" spans="1:23" ht="45">
      <c r="A22" t="s">
        <v>175</v>
      </c>
      <c r="B22" t="s">
        <v>176</v>
      </c>
      <c r="C22" t="s">
        <v>16</v>
      </c>
      <c r="D22" t="s">
        <v>43</v>
      </c>
      <c r="E22" t="s">
        <v>166</v>
      </c>
      <c r="F22" s="1" t="s">
        <v>177</v>
      </c>
      <c r="G22" s="1" t="s">
        <v>178</v>
      </c>
      <c r="H22" s="1" t="s">
        <v>179</v>
      </c>
      <c r="I22">
        <v>31</v>
      </c>
      <c r="J22">
        <v>0</v>
      </c>
      <c r="K22">
        <v>2</v>
      </c>
      <c r="L22" s="11">
        <v>-6.4516000000000004E-2</v>
      </c>
      <c r="M22" t="s">
        <v>598</v>
      </c>
      <c r="N22" s="12">
        <v>1</v>
      </c>
      <c r="O22" s="12">
        <v>3</v>
      </c>
      <c r="P22" s="12">
        <v>3</v>
      </c>
      <c r="Q22" s="12">
        <v>1</v>
      </c>
      <c r="R22" s="12">
        <v>3</v>
      </c>
      <c r="S22" s="12">
        <v>3</v>
      </c>
      <c r="T22" s="1" t="s">
        <v>595</v>
      </c>
      <c r="U22" s="1" t="s">
        <v>596</v>
      </c>
      <c r="V22">
        <v>20260719</v>
      </c>
      <c r="W22">
        <v>46222.653275462966</v>
      </c>
    </row>
    <row r="23" spans="1:23" ht="45">
      <c r="A23" t="s">
        <v>180</v>
      </c>
      <c r="B23" t="s">
        <v>181</v>
      </c>
      <c r="C23" t="s">
        <v>16</v>
      </c>
      <c r="D23" t="s">
        <v>43</v>
      </c>
      <c r="E23" t="s">
        <v>166</v>
      </c>
      <c r="F23" s="1" t="s">
        <v>182</v>
      </c>
      <c r="G23" s="1" t="s">
        <v>183</v>
      </c>
      <c r="H23" s="1" t="s">
        <v>184</v>
      </c>
      <c r="I23">
        <v>32</v>
      </c>
      <c r="J23">
        <v>0</v>
      </c>
      <c r="K23">
        <v>4</v>
      </c>
      <c r="L23" s="11">
        <v>-0.125</v>
      </c>
      <c r="M23" t="s">
        <v>594</v>
      </c>
      <c r="N23" s="12">
        <v>0</v>
      </c>
      <c r="O23" s="12">
        <v>3</v>
      </c>
      <c r="P23" s="12">
        <v>3</v>
      </c>
      <c r="Q23" s="12">
        <v>0</v>
      </c>
      <c r="R23" s="12">
        <v>3</v>
      </c>
      <c r="S23" s="12">
        <v>3</v>
      </c>
      <c r="T23" s="1" t="s">
        <v>595</v>
      </c>
      <c r="U23" s="1" t="s">
        <v>596</v>
      </c>
      <c r="V23">
        <v>20260719</v>
      </c>
      <c r="W23">
        <v>46222.653275462966</v>
      </c>
    </row>
    <row r="24" spans="1:23" ht="45">
      <c r="A24" t="s">
        <v>180</v>
      </c>
      <c r="B24" t="s">
        <v>181</v>
      </c>
      <c r="C24" t="s">
        <v>16</v>
      </c>
      <c r="D24" t="s">
        <v>43</v>
      </c>
      <c r="E24" t="s">
        <v>166</v>
      </c>
      <c r="F24" s="1" t="s">
        <v>182</v>
      </c>
      <c r="G24" s="1" t="s">
        <v>183</v>
      </c>
      <c r="H24" s="1" t="s">
        <v>184</v>
      </c>
      <c r="I24">
        <v>32</v>
      </c>
      <c r="J24">
        <v>0</v>
      </c>
      <c r="K24">
        <v>4</v>
      </c>
      <c r="L24" s="11">
        <v>-0.125</v>
      </c>
      <c r="M24" t="s">
        <v>597</v>
      </c>
      <c r="N24" s="12">
        <v>0</v>
      </c>
      <c r="O24" s="12">
        <v>3</v>
      </c>
      <c r="P24" s="12">
        <v>3</v>
      </c>
      <c r="Q24" s="12">
        <v>0</v>
      </c>
      <c r="R24" s="12">
        <v>3</v>
      </c>
      <c r="S24" s="12">
        <v>3</v>
      </c>
      <c r="T24" s="1" t="s">
        <v>595</v>
      </c>
      <c r="U24" s="1" t="s">
        <v>596</v>
      </c>
      <c r="V24">
        <v>20260719</v>
      </c>
      <c r="W24">
        <v>46222.653275462966</v>
      </c>
    </row>
    <row r="25" spans="1:23" ht="45">
      <c r="A25" t="s">
        <v>180</v>
      </c>
      <c r="B25" t="s">
        <v>181</v>
      </c>
      <c r="C25" t="s">
        <v>16</v>
      </c>
      <c r="D25" t="s">
        <v>43</v>
      </c>
      <c r="E25" t="s">
        <v>166</v>
      </c>
      <c r="F25" s="1" t="s">
        <v>182</v>
      </c>
      <c r="G25" s="1" t="s">
        <v>183</v>
      </c>
      <c r="H25" s="1" t="s">
        <v>184</v>
      </c>
      <c r="I25">
        <v>32</v>
      </c>
      <c r="J25">
        <v>0</v>
      </c>
      <c r="K25">
        <v>4</v>
      </c>
      <c r="L25" s="11">
        <v>-0.125</v>
      </c>
      <c r="M25" t="s">
        <v>598</v>
      </c>
      <c r="N25" s="12">
        <v>0</v>
      </c>
      <c r="O25" s="12">
        <v>3</v>
      </c>
      <c r="P25" s="12">
        <v>3</v>
      </c>
      <c r="Q25" s="12">
        <v>0</v>
      </c>
      <c r="R25" s="12">
        <v>3</v>
      </c>
      <c r="S25" s="12">
        <v>3</v>
      </c>
      <c r="T25" s="1" t="s">
        <v>595</v>
      </c>
      <c r="U25" s="1" t="s">
        <v>596</v>
      </c>
      <c r="V25">
        <v>20260719</v>
      </c>
      <c r="W25">
        <v>46222.653275462966</v>
      </c>
    </row>
    <row r="26" spans="1:23" ht="30">
      <c r="A26" t="s">
        <v>185</v>
      </c>
      <c r="B26" t="s">
        <v>186</v>
      </c>
      <c r="C26" t="s">
        <v>16</v>
      </c>
      <c r="D26" t="s">
        <v>43</v>
      </c>
      <c r="E26" t="s">
        <v>187</v>
      </c>
      <c r="F26" s="1" t="s">
        <v>188</v>
      </c>
      <c r="G26" s="1" t="s">
        <v>189</v>
      </c>
      <c r="H26" s="1" t="s">
        <v>190</v>
      </c>
      <c r="I26">
        <v>35</v>
      </c>
      <c r="J26">
        <v>0</v>
      </c>
      <c r="K26">
        <v>3</v>
      </c>
      <c r="L26" s="11">
        <v>-8.5713999999999999E-2</v>
      </c>
      <c r="M26" t="s">
        <v>594</v>
      </c>
      <c r="N26" s="12">
        <v>0</v>
      </c>
      <c r="O26" s="12">
        <v>3</v>
      </c>
      <c r="P26" s="12">
        <v>3</v>
      </c>
      <c r="Q26" s="12">
        <v>0</v>
      </c>
      <c r="R26" s="12">
        <v>2</v>
      </c>
      <c r="S26" s="12">
        <v>3</v>
      </c>
      <c r="T26" s="1" t="s">
        <v>595</v>
      </c>
      <c r="U26" s="1" t="s">
        <v>596</v>
      </c>
      <c r="V26">
        <v>20260719</v>
      </c>
      <c r="W26">
        <v>46222.653275462966</v>
      </c>
    </row>
    <row r="27" spans="1:23" ht="30">
      <c r="A27" t="s">
        <v>185</v>
      </c>
      <c r="B27" t="s">
        <v>186</v>
      </c>
      <c r="C27" t="s">
        <v>16</v>
      </c>
      <c r="D27" t="s">
        <v>43</v>
      </c>
      <c r="E27" t="s">
        <v>187</v>
      </c>
      <c r="F27" s="1" t="s">
        <v>188</v>
      </c>
      <c r="G27" s="1" t="s">
        <v>189</v>
      </c>
      <c r="H27" s="1" t="s">
        <v>190</v>
      </c>
      <c r="I27">
        <v>35</v>
      </c>
      <c r="J27">
        <v>0</v>
      </c>
      <c r="K27">
        <v>3</v>
      </c>
      <c r="L27" s="11">
        <v>-8.5713999999999999E-2</v>
      </c>
      <c r="M27" t="s">
        <v>597</v>
      </c>
      <c r="N27" s="12">
        <v>0</v>
      </c>
      <c r="O27" s="12">
        <v>3</v>
      </c>
      <c r="P27" s="12">
        <v>3</v>
      </c>
      <c r="Q27" s="12">
        <v>0</v>
      </c>
      <c r="R27" s="12">
        <v>2</v>
      </c>
      <c r="S27" s="12">
        <v>3</v>
      </c>
      <c r="T27" s="1" t="s">
        <v>595</v>
      </c>
      <c r="U27" s="1" t="s">
        <v>596</v>
      </c>
      <c r="V27">
        <v>20260719</v>
      </c>
      <c r="W27">
        <v>46222.653275462966</v>
      </c>
    </row>
    <row r="28" spans="1:23" ht="30">
      <c r="A28" t="s">
        <v>185</v>
      </c>
      <c r="B28" t="s">
        <v>186</v>
      </c>
      <c r="C28" t="s">
        <v>16</v>
      </c>
      <c r="D28" t="s">
        <v>43</v>
      </c>
      <c r="E28" t="s">
        <v>187</v>
      </c>
      <c r="F28" s="1" t="s">
        <v>188</v>
      </c>
      <c r="G28" s="1" t="s">
        <v>189</v>
      </c>
      <c r="H28" s="1" t="s">
        <v>190</v>
      </c>
      <c r="I28">
        <v>35</v>
      </c>
      <c r="J28">
        <v>0</v>
      </c>
      <c r="K28">
        <v>3</v>
      </c>
      <c r="L28" s="11">
        <v>-8.5713999999999999E-2</v>
      </c>
      <c r="M28" t="s">
        <v>598</v>
      </c>
      <c r="N28" s="12">
        <v>0</v>
      </c>
      <c r="O28" s="12">
        <v>3</v>
      </c>
      <c r="P28" s="12">
        <v>3</v>
      </c>
      <c r="Q28" s="12">
        <v>0</v>
      </c>
      <c r="R28" s="12">
        <v>2</v>
      </c>
      <c r="S28" s="12">
        <v>3</v>
      </c>
      <c r="T28" s="1" t="s">
        <v>595</v>
      </c>
      <c r="U28" s="1" t="s">
        <v>596</v>
      </c>
      <c r="V28">
        <v>20260719</v>
      </c>
      <c r="W28">
        <v>46222.653275462966</v>
      </c>
    </row>
    <row r="29" spans="1:23" ht="30">
      <c r="A29" t="s">
        <v>191</v>
      </c>
      <c r="B29" t="s">
        <v>192</v>
      </c>
      <c r="C29" t="s">
        <v>16</v>
      </c>
      <c r="D29" t="s">
        <v>43</v>
      </c>
      <c r="E29" t="s">
        <v>187</v>
      </c>
      <c r="F29" s="1" t="s">
        <v>193</v>
      </c>
      <c r="G29" s="1" t="s">
        <v>194</v>
      </c>
      <c r="H29" s="1" t="s">
        <v>195</v>
      </c>
      <c r="I29">
        <v>27</v>
      </c>
      <c r="J29">
        <v>0</v>
      </c>
      <c r="K29">
        <v>3</v>
      </c>
      <c r="L29" s="11">
        <v>-0.111111</v>
      </c>
      <c r="M29" t="s">
        <v>594</v>
      </c>
      <c r="N29" s="12">
        <v>1</v>
      </c>
      <c r="O29" s="12">
        <v>3</v>
      </c>
      <c r="P29" s="12">
        <v>3</v>
      </c>
      <c r="Q29" s="12">
        <v>1</v>
      </c>
      <c r="R29" s="12">
        <v>2</v>
      </c>
      <c r="S29" s="12">
        <v>3</v>
      </c>
      <c r="T29" s="1" t="s">
        <v>595</v>
      </c>
      <c r="U29" s="1" t="s">
        <v>596</v>
      </c>
      <c r="V29">
        <v>20260719</v>
      </c>
      <c r="W29">
        <v>46222.653275462966</v>
      </c>
    </row>
    <row r="30" spans="1:23" ht="30">
      <c r="A30" t="s">
        <v>191</v>
      </c>
      <c r="B30" t="s">
        <v>192</v>
      </c>
      <c r="C30" t="s">
        <v>16</v>
      </c>
      <c r="D30" t="s">
        <v>43</v>
      </c>
      <c r="E30" t="s">
        <v>187</v>
      </c>
      <c r="F30" s="1" t="s">
        <v>193</v>
      </c>
      <c r="G30" s="1" t="s">
        <v>194</v>
      </c>
      <c r="H30" s="1" t="s">
        <v>195</v>
      </c>
      <c r="I30">
        <v>27</v>
      </c>
      <c r="J30">
        <v>0</v>
      </c>
      <c r="K30">
        <v>3</v>
      </c>
      <c r="L30" s="11">
        <v>-0.111111</v>
      </c>
      <c r="M30" t="s">
        <v>597</v>
      </c>
      <c r="N30" s="12">
        <v>1</v>
      </c>
      <c r="O30" s="12">
        <v>3</v>
      </c>
      <c r="P30" s="12">
        <v>3</v>
      </c>
      <c r="Q30" s="12">
        <v>1</v>
      </c>
      <c r="R30" s="12">
        <v>2</v>
      </c>
      <c r="S30" s="12">
        <v>3</v>
      </c>
      <c r="T30" s="1" t="s">
        <v>595</v>
      </c>
      <c r="U30" s="1" t="s">
        <v>596</v>
      </c>
      <c r="V30">
        <v>20260719</v>
      </c>
      <c r="W30">
        <v>46222.653275462966</v>
      </c>
    </row>
    <row r="31" spans="1:23" ht="30">
      <c r="A31" t="s">
        <v>191</v>
      </c>
      <c r="B31" t="s">
        <v>192</v>
      </c>
      <c r="C31" t="s">
        <v>16</v>
      </c>
      <c r="D31" t="s">
        <v>43</v>
      </c>
      <c r="E31" t="s">
        <v>187</v>
      </c>
      <c r="F31" s="1" t="s">
        <v>193</v>
      </c>
      <c r="G31" s="1" t="s">
        <v>194</v>
      </c>
      <c r="H31" s="1" t="s">
        <v>195</v>
      </c>
      <c r="I31">
        <v>27</v>
      </c>
      <c r="J31">
        <v>0</v>
      </c>
      <c r="K31">
        <v>3</v>
      </c>
      <c r="L31" s="11">
        <v>-0.111111</v>
      </c>
      <c r="M31" t="s">
        <v>598</v>
      </c>
      <c r="N31" s="12">
        <v>1</v>
      </c>
      <c r="O31" s="12">
        <v>3</v>
      </c>
      <c r="P31" s="12">
        <v>2</v>
      </c>
      <c r="Q31" s="12">
        <v>1</v>
      </c>
      <c r="R31" s="12">
        <v>2</v>
      </c>
      <c r="S31" s="12">
        <v>3</v>
      </c>
      <c r="T31" s="1" t="s">
        <v>595</v>
      </c>
      <c r="U31" s="1" t="s">
        <v>596</v>
      </c>
      <c r="V31">
        <v>20260719</v>
      </c>
      <c r="W31">
        <v>46222.653275462966</v>
      </c>
    </row>
    <row r="32" spans="1:23" ht="45">
      <c r="A32" t="s">
        <v>196</v>
      </c>
      <c r="B32" t="s">
        <v>197</v>
      </c>
      <c r="C32" t="s">
        <v>16</v>
      </c>
      <c r="D32" t="s">
        <v>43</v>
      </c>
      <c r="E32" t="s">
        <v>187</v>
      </c>
      <c r="F32" s="1" t="s">
        <v>198</v>
      </c>
      <c r="G32" s="1" t="s">
        <v>199</v>
      </c>
      <c r="H32" s="1" t="s">
        <v>200</v>
      </c>
      <c r="I32">
        <v>34</v>
      </c>
      <c r="J32">
        <v>0</v>
      </c>
      <c r="K32">
        <v>3</v>
      </c>
      <c r="L32" s="11">
        <v>-8.8234999999999994E-2</v>
      </c>
      <c r="M32" t="s">
        <v>594</v>
      </c>
      <c r="N32" s="12">
        <v>0</v>
      </c>
      <c r="O32" s="12">
        <v>2</v>
      </c>
      <c r="P32" s="12">
        <v>3</v>
      </c>
      <c r="Q32" s="12">
        <v>0</v>
      </c>
      <c r="R32" s="12">
        <v>3</v>
      </c>
      <c r="S32" s="12">
        <v>3</v>
      </c>
      <c r="T32" s="1" t="s">
        <v>595</v>
      </c>
      <c r="U32" s="1" t="s">
        <v>596</v>
      </c>
      <c r="V32">
        <v>20260719</v>
      </c>
      <c r="W32">
        <v>46222.653275462966</v>
      </c>
    </row>
    <row r="33" spans="1:23" ht="45">
      <c r="A33" t="s">
        <v>196</v>
      </c>
      <c r="B33" t="s">
        <v>197</v>
      </c>
      <c r="C33" t="s">
        <v>16</v>
      </c>
      <c r="D33" t="s">
        <v>43</v>
      </c>
      <c r="E33" t="s">
        <v>187</v>
      </c>
      <c r="F33" s="1" t="s">
        <v>198</v>
      </c>
      <c r="G33" s="1" t="s">
        <v>199</v>
      </c>
      <c r="H33" s="1" t="s">
        <v>200</v>
      </c>
      <c r="I33">
        <v>34</v>
      </c>
      <c r="J33">
        <v>0</v>
      </c>
      <c r="K33">
        <v>3</v>
      </c>
      <c r="L33" s="11">
        <v>-8.8234999999999994E-2</v>
      </c>
      <c r="M33" t="s">
        <v>597</v>
      </c>
      <c r="N33" s="12">
        <v>0</v>
      </c>
      <c r="O33" s="12">
        <v>2</v>
      </c>
      <c r="P33" s="12">
        <v>3</v>
      </c>
      <c r="Q33" s="12">
        <v>0</v>
      </c>
      <c r="R33" s="12">
        <v>2</v>
      </c>
      <c r="S33" s="12">
        <v>3</v>
      </c>
      <c r="T33" s="1" t="s">
        <v>595</v>
      </c>
      <c r="U33" s="1" t="s">
        <v>596</v>
      </c>
      <c r="V33">
        <v>20260719</v>
      </c>
      <c r="W33">
        <v>46222.653275462966</v>
      </c>
    </row>
    <row r="34" spans="1:23" ht="45">
      <c r="A34" t="s">
        <v>196</v>
      </c>
      <c r="B34" t="s">
        <v>197</v>
      </c>
      <c r="C34" t="s">
        <v>16</v>
      </c>
      <c r="D34" t="s">
        <v>43</v>
      </c>
      <c r="E34" t="s">
        <v>187</v>
      </c>
      <c r="F34" s="1" t="s">
        <v>198</v>
      </c>
      <c r="G34" s="1" t="s">
        <v>199</v>
      </c>
      <c r="H34" s="1" t="s">
        <v>200</v>
      </c>
      <c r="I34">
        <v>34</v>
      </c>
      <c r="J34">
        <v>0</v>
      </c>
      <c r="K34">
        <v>3</v>
      </c>
      <c r="L34" s="11">
        <v>-8.8234999999999994E-2</v>
      </c>
      <c r="M34" t="s">
        <v>598</v>
      </c>
      <c r="N34" s="12">
        <v>1</v>
      </c>
      <c r="O34" s="12">
        <v>3</v>
      </c>
      <c r="P34" s="12">
        <v>3</v>
      </c>
      <c r="Q34" s="12">
        <v>1</v>
      </c>
      <c r="R34" s="12">
        <v>2</v>
      </c>
      <c r="S34" s="12">
        <v>3</v>
      </c>
      <c r="T34" s="1" t="s">
        <v>595</v>
      </c>
      <c r="U34" s="1" t="s">
        <v>596</v>
      </c>
      <c r="V34">
        <v>20260719</v>
      </c>
      <c r="W34">
        <v>46222.653275462966</v>
      </c>
    </row>
    <row r="35" spans="1:23" ht="45">
      <c r="A35" t="s">
        <v>201</v>
      </c>
      <c r="B35" t="s">
        <v>202</v>
      </c>
      <c r="C35" t="s">
        <v>16</v>
      </c>
      <c r="D35" t="s">
        <v>43</v>
      </c>
      <c r="E35" t="s">
        <v>187</v>
      </c>
      <c r="F35" s="1" t="s">
        <v>203</v>
      </c>
      <c r="G35" s="1" t="s">
        <v>204</v>
      </c>
      <c r="H35" s="1" t="s">
        <v>205</v>
      </c>
      <c r="I35">
        <v>32</v>
      </c>
      <c r="J35">
        <v>0</v>
      </c>
      <c r="K35">
        <v>3</v>
      </c>
      <c r="L35" s="11">
        <v>-9.375E-2</v>
      </c>
      <c r="M35" t="s">
        <v>594</v>
      </c>
      <c r="N35" s="12">
        <v>0</v>
      </c>
      <c r="O35" s="12">
        <v>3</v>
      </c>
      <c r="P35" s="12">
        <v>2</v>
      </c>
      <c r="Q35" s="12">
        <v>2</v>
      </c>
      <c r="R35" s="12">
        <v>3</v>
      </c>
      <c r="S35" s="12">
        <v>3</v>
      </c>
      <c r="T35" s="1" t="s">
        <v>595</v>
      </c>
      <c r="U35" s="1" t="s">
        <v>596</v>
      </c>
      <c r="V35">
        <v>20260719</v>
      </c>
      <c r="W35">
        <v>46222.653275462966</v>
      </c>
    </row>
    <row r="36" spans="1:23" ht="45">
      <c r="A36" t="s">
        <v>201</v>
      </c>
      <c r="B36" t="s">
        <v>202</v>
      </c>
      <c r="C36" t="s">
        <v>16</v>
      </c>
      <c r="D36" t="s">
        <v>43</v>
      </c>
      <c r="E36" t="s">
        <v>187</v>
      </c>
      <c r="F36" s="1" t="s">
        <v>203</v>
      </c>
      <c r="G36" s="1" t="s">
        <v>204</v>
      </c>
      <c r="H36" s="1" t="s">
        <v>205</v>
      </c>
      <c r="I36">
        <v>32</v>
      </c>
      <c r="J36">
        <v>0</v>
      </c>
      <c r="K36">
        <v>3</v>
      </c>
      <c r="L36" s="11">
        <v>-9.375E-2</v>
      </c>
      <c r="M36" t="s">
        <v>597</v>
      </c>
      <c r="N36" s="12">
        <v>0</v>
      </c>
      <c r="O36" s="12">
        <v>3</v>
      </c>
      <c r="P36" s="12">
        <v>3</v>
      </c>
      <c r="Q36" s="12">
        <v>1</v>
      </c>
      <c r="R36" s="12">
        <v>3</v>
      </c>
      <c r="S36" s="12">
        <v>3</v>
      </c>
      <c r="T36" s="1" t="s">
        <v>595</v>
      </c>
      <c r="U36" s="1" t="s">
        <v>596</v>
      </c>
      <c r="V36">
        <v>20260719</v>
      </c>
      <c r="W36">
        <v>46222.653275462966</v>
      </c>
    </row>
    <row r="37" spans="1:23" ht="45">
      <c r="A37" t="s">
        <v>201</v>
      </c>
      <c r="B37" t="s">
        <v>202</v>
      </c>
      <c r="C37" t="s">
        <v>16</v>
      </c>
      <c r="D37" t="s">
        <v>43</v>
      </c>
      <c r="E37" t="s">
        <v>187</v>
      </c>
      <c r="F37" s="1" t="s">
        <v>203</v>
      </c>
      <c r="G37" s="1" t="s">
        <v>204</v>
      </c>
      <c r="H37" s="1" t="s">
        <v>205</v>
      </c>
      <c r="I37">
        <v>32</v>
      </c>
      <c r="J37">
        <v>0</v>
      </c>
      <c r="K37">
        <v>3</v>
      </c>
      <c r="L37" s="11">
        <v>-9.375E-2</v>
      </c>
      <c r="M37" t="s">
        <v>598</v>
      </c>
      <c r="N37" s="12">
        <v>1</v>
      </c>
      <c r="O37" s="12">
        <v>3</v>
      </c>
      <c r="P37" s="12">
        <v>3</v>
      </c>
      <c r="Q37" s="12">
        <v>2</v>
      </c>
      <c r="R37" s="12">
        <v>3</v>
      </c>
      <c r="S37" s="12">
        <v>3</v>
      </c>
      <c r="T37" s="1" t="s">
        <v>595</v>
      </c>
      <c r="U37" s="1" t="s">
        <v>596</v>
      </c>
      <c r="V37">
        <v>20260719</v>
      </c>
      <c r="W37">
        <v>46222.653275462966</v>
      </c>
    </row>
    <row r="38" spans="1:23" ht="45">
      <c r="A38" t="s">
        <v>206</v>
      </c>
      <c r="B38" t="s">
        <v>207</v>
      </c>
      <c r="C38" t="s">
        <v>16</v>
      </c>
      <c r="D38" t="s">
        <v>43</v>
      </c>
      <c r="E38" t="s">
        <v>208</v>
      </c>
      <c r="F38" s="1" t="s">
        <v>209</v>
      </c>
      <c r="G38" s="1" t="s">
        <v>210</v>
      </c>
      <c r="H38" s="1" t="s">
        <v>211</v>
      </c>
      <c r="I38">
        <v>33</v>
      </c>
      <c r="J38">
        <v>0</v>
      </c>
      <c r="K38">
        <v>3</v>
      </c>
      <c r="L38" s="11">
        <v>-9.0909000000000004E-2</v>
      </c>
      <c r="M38" t="s">
        <v>594</v>
      </c>
      <c r="N38" s="12">
        <v>0</v>
      </c>
      <c r="O38" s="12">
        <v>2</v>
      </c>
      <c r="P38" s="12">
        <v>2</v>
      </c>
      <c r="Q38" s="12">
        <v>1</v>
      </c>
      <c r="R38" s="12">
        <v>2</v>
      </c>
      <c r="S38" s="12">
        <v>2</v>
      </c>
      <c r="T38" s="1" t="s">
        <v>595</v>
      </c>
      <c r="U38" s="1" t="s">
        <v>596</v>
      </c>
      <c r="V38">
        <v>20260719</v>
      </c>
      <c r="W38">
        <v>46222.653275462966</v>
      </c>
    </row>
    <row r="39" spans="1:23" ht="45">
      <c r="A39" t="s">
        <v>206</v>
      </c>
      <c r="B39" t="s">
        <v>207</v>
      </c>
      <c r="C39" t="s">
        <v>16</v>
      </c>
      <c r="D39" t="s">
        <v>43</v>
      </c>
      <c r="E39" t="s">
        <v>208</v>
      </c>
      <c r="F39" s="1" t="s">
        <v>209</v>
      </c>
      <c r="G39" s="1" t="s">
        <v>210</v>
      </c>
      <c r="H39" s="1" t="s">
        <v>211</v>
      </c>
      <c r="I39">
        <v>33</v>
      </c>
      <c r="J39">
        <v>0</v>
      </c>
      <c r="K39">
        <v>3</v>
      </c>
      <c r="L39" s="11">
        <v>-9.0909000000000004E-2</v>
      </c>
      <c r="M39" t="s">
        <v>597</v>
      </c>
      <c r="N39" s="12">
        <v>0</v>
      </c>
      <c r="O39" s="12">
        <v>2</v>
      </c>
      <c r="P39" s="12">
        <v>2</v>
      </c>
      <c r="Q39" s="12">
        <v>0</v>
      </c>
      <c r="R39" s="12">
        <v>2</v>
      </c>
      <c r="S39" s="12">
        <v>2</v>
      </c>
      <c r="T39" s="1" t="s">
        <v>595</v>
      </c>
      <c r="U39" s="1" t="s">
        <v>596</v>
      </c>
      <c r="V39">
        <v>20260719</v>
      </c>
      <c r="W39">
        <v>46222.653275462966</v>
      </c>
    </row>
    <row r="40" spans="1:23" ht="45">
      <c r="A40" t="s">
        <v>206</v>
      </c>
      <c r="B40" t="s">
        <v>207</v>
      </c>
      <c r="C40" t="s">
        <v>16</v>
      </c>
      <c r="D40" t="s">
        <v>43</v>
      </c>
      <c r="E40" t="s">
        <v>208</v>
      </c>
      <c r="F40" s="1" t="s">
        <v>209</v>
      </c>
      <c r="G40" s="1" t="s">
        <v>210</v>
      </c>
      <c r="H40" s="1" t="s">
        <v>211</v>
      </c>
      <c r="I40">
        <v>33</v>
      </c>
      <c r="J40">
        <v>0</v>
      </c>
      <c r="K40">
        <v>3</v>
      </c>
      <c r="L40" s="11">
        <v>-9.0909000000000004E-2</v>
      </c>
      <c r="M40" t="s">
        <v>598</v>
      </c>
      <c r="N40" s="12">
        <v>0</v>
      </c>
      <c r="O40" s="12">
        <v>2</v>
      </c>
      <c r="P40" s="12">
        <v>2</v>
      </c>
      <c r="Q40" s="12">
        <v>1</v>
      </c>
      <c r="R40" s="12">
        <v>2</v>
      </c>
      <c r="S40" s="12">
        <v>2</v>
      </c>
      <c r="T40" s="1" t="s">
        <v>595</v>
      </c>
      <c r="U40" s="1" t="s">
        <v>596</v>
      </c>
      <c r="V40">
        <v>20260719</v>
      </c>
      <c r="W40">
        <v>46222.653275462966</v>
      </c>
    </row>
    <row r="41" spans="1:23" ht="45">
      <c r="A41" t="s">
        <v>212</v>
      </c>
      <c r="B41" t="s">
        <v>213</v>
      </c>
      <c r="C41" t="s">
        <v>16</v>
      </c>
      <c r="D41" t="s">
        <v>43</v>
      </c>
      <c r="E41" t="s">
        <v>208</v>
      </c>
      <c r="F41" s="1" t="s">
        <v>214</v>
      </c>
      <c r="G41" s="1" t="s">
        <v>215</v>
      </c>
      <c r="H41" s="1" t="s">
        <v>216</v>
      </c>
      <c r="I41">
        <v>33</v>
      </c>
      <c r="J41">
        <v>0</v>
      </c>
      <c r="K41">
        <v>4</v>
      </c>
      <c r="L41" s="11">
        <v>-0.121212</v>
      </c>
      <c r="M41" t="s">
        <v>594</v>
      </c>
      <c r="N41" s="12">
        <v>1</v>
      </c>
      <c r="O41" s="12">
        <v>2</v>
      </c>
      <c r="P41" s="12">
        <v>2</v>
      </c>
      <c r="Q41" s="12">
        <v>1</v>
      </c>
      <c r="R41" s="12">
        <v>3</v>
      </c>
      <c r="S41" s="12">
        <v>3</v>
      </c>
      <c r="T41" s="1" t="s">
        <v>595</v>
      </c>
      <c r="U41" s="1" t="s">
        <v>596</v>
      </c>
      <c r="V41">
        <v>20260719</v>
      </c>
      <c r="W41">
        <v>46222.653275462966</v>
      </c>
    </row>
    <row r="42" spans="1:23" ht="45">
      <c r="A42" t="s">
        <v>212</v>
      </c>
      <c r="B42" t="s">
        <v>213</v>
      </c>
      <c r="C42" t="s">
        <v>16</v>
      </c>
      <c r="D42" t="s">
        <v>43</v>
      </c>
      <c r="E42" t="s">
        <v>208</v>
      </c>
      <c r="F42" s="1" t="s">
        <v>214</v>
      </c>
      <c r="G42" s="1" t="s">
        <v>215</v>
      </c>
      <c r="H42" s="1" t="s">
        <v>216</v>
      </c>
      <c r="I42">
        <v>33</v>
      </c>
      <c r="J42">
        <v>0</v>
      </c>
      <c r="K42">
        <v>4</v>
      </c>
      <c r="L42" s="11">
        <v>-0.121212</v>
      </c>
      <c r="M42" t="s">
        <v>597</v>
      </c>
      <c r="N42" s="12">
        <v>1</v>
      </c>
      <c r="O42" s="12">
        <v>2</v>
      </c>
      <c r="P42" s="12">
        <v>2</v>
      </c>
      <c r="Q42" s="12">
        <v>0</v>
      </c>
      <c r="R42" s="12">
        <v>2</v>
      </c>
      <c r="S42" s="12">
        <v>3</v>
      </c>
      <c r="T42" s="1" t="s">
        <v>595</v>
      </c>
      <c r="U42" s="1" t="s">
        <v>596</v>
      </c>
      <c r="V42">
        <v>20260719</v>
      </c>
      <c r="W42">
        <v>46222.653275462966</v>
      </c>
    </row>
    <row r="43" spans="1:23" ht="45">
      <c r="A43" t="s">
        <v>212</v>
      </c>
      <c r="B43" t="s">
        <v>213</v>
      </c>
      <c r="C43" t="s">
        <v>16</v>
      </c>
      <c r="D43" t="s">
        <v>43</v>
      </c>
      <c r="E43" t="s">
        <v>208</v>
      </c>
      <c r="F43" s="1" t="s">
        <v>214</v>
      </c>
      <c r="G43" s="1" t="s">
        <v>215</v>
      </c>
      <c r="H43" s="1" t="s">
        <v>216</v>
      </c>
      <c r="I43">
        <v>33</v>
      </c>
      <c r="J43">
        <v>0</v>
      </c>
      <c r="K43">
        <v>4</v>
      </c>
      <c r="L43" s="11">
        <v>-0.121212</v>
      </c>
      <c r="M43" t="s">
        <v>598</v>
      </c>
      <c r="N43" s="12">
        <v>1</v>
      </c>
      <c r="O43" s="12">
        <v>2</v>
      </c>
      <c r="P43" s="12">
        <v>2</v>
      </c>
      <c r="Q43" s="12">
        <v>1</v>
      </c>
      <c r="R43" s="12">
        <v>2</v>
      </c>
      <c r="S43" s="12">
        <v>3</v>
      </c>
      <c r="T43" s="1" t="s">
        <v>595</v>
      </c>
      <c r="U43" s="1" t="s">
        <v>596</v>
      </c>
      <c r="V43">
        <v>20260719</v>
      </c>
      <c r="W43">
        <v>46222.653275462966</v>
      </c>
    </row>
    <row r="44" spans="1:23" ht="30">
      <c r="A44" t="s">
        <v>217</v>
      </c>
      <c r="B44" t="s">
        <v>218</v>
      </c>
      <c r="C44" t="s">
        <v>16</v>
      </c>
      <c r="D44" t="s">
        <v>43</v>
      </c>
      <c r="E44" t="s">
        <v>208</v>
      </c>
      <c r="F44" s="1" t="s">
        <v>219</v>
      </c>
      <c r="G44" s="1" t="s">
        <v>220</v>
      </c>
      <c r="H44" s="1" t="s">
        <v>221</v>
      </c>
      <c r="I44">
        <v>30</v>
      </c>
      <c r="J44">
        <v>0</v>
      </c>
      <c r="K44">
        <v>3</v>
      </c>
      <c r="L44" s="11">
        <v>-0.1</v>
      </c>
      <c r="M44" t="s">
        <v>594</v>
      </c>
      <c r="N44" s="12">
        <v>1</v>
      </c>
      <c r="O44" s="12">
        <v>3</v>
      </c>
      <c r="P44" s="12">
        <v>2</v>
      </c>
      <c r="Q44" s="12">
        <v>0</v>
      </c>
      <c r="R44" s="12">
        <v>2</v>
      </c>
      <c r="S44" s="12">
        <v>3</v>
      </c>
      <c r="T44" s="1" t="s">
        <v>595</v>
      </c>
      <c r="U44" s="1" t="s">
        <v>596</v>
      </c>
      <c r="V44">
        <v>20260719</v>
      </c>
      <c r="W44">
        <v>46222.653275462966</v>
      </c>
    </row>
    <row r="45" spans="1:23" ht="30">
      <c r="A45" t="s">
        <v>217</v>
      </c>
      <c r="B45" t="s">
        <v>218</v>
      </c>
      <c r="C45" t="s">
        <v>16</v>
      </c>
      <c r="D45" t="s">
        <v>43</v>
      </c>
      <c r="E45" t="s">
        <v>208</v>
      </c>
      <c r="F45" s="1" t="s">
        <v>219</v>
      </c>
      <c r="G45" s="1" t="s">
        <v>220</v>
      </c>
      <c r="H45" s="1" t="s">
        <v>221</v>
      </c>
      <c r="I45">
        <v>30</v>
      </c>
      <c r="J45">
        <v>0</v>
      </c>
      <c r="K45">
        <v>3</v>
      </c>
      <c r="L45" s="11">
        <v>-0.1</v>
      </c>
      <c r="M45" t="s">
        <v>597</v>
      </c>
      <c r="N45" s="12">
        <v>1</v>
      </c>
      <c r="O45" s="12">
        <v>2</v>
      </c>
      <c r="P45" s="12">
        <v>2</v>
      </c>
      <c r="Q45" s="12">
        <v>0</v>
      </c>
      <c r="R45" s="12">
        <v>2</v>
      </c>
      <c r="S45" s="12">
        <v>2</v>
      </c>
      <c r="T45" s="1" t="s">
        <v>595</v>
      </c>
      <c r="U45" s="1" t="s">
        <v>596</v>
      </c>
      <c r="V45">
        <v>20260719</v>
      </c>
      <c r="W45">
        <v>46222.653275462966</v>
      </c>
    </row>
    <row r="46" spans="1:23" ht="30">
      <c r="A46" t="s">
        <v>217</v>
      </c>
      <c r="B46" t="s">
        <v>218</v>
      </c>
      <c r="C46" t="s">
        <v>16</v>
      </c>
      <c r="D46" t="s">
        <v>43</v>
      </c>
      <c r="E46" t="s">
        <v>208</v>
      </c>
      <c r="F46" s="1" t="s">
        <v>219</v>
      </c>
      <c r="G46" s="1" t="s">
        <v>220</v>
      </c>
      <c r="H46" s="1" t="s">
        <v>221</v>
      </c>
      <c r="I46">
        <v>30</v>
      </c>
      <c r="J46">
        <v>0</v>
      </c>
      <c r="K46">
        <v>3</v>
      </c>
      <c r="L46" s="11">
        <v>-0.1</v>
      </c>
      <c r="M46" t="s">
        <v>598</v>
      </c>
      <c r="N46" s="12">
        <v>1</v>
      </c>
      <c r="O46" s="12">
        <v>3</v>
      </c>
      <c r="P46" s="12">
        <v>2</v>
      </c>
      <c r="Q46" s="12">
        <v>1</v>
      </c>
      <c r="R46" s="12">
        <v>2</v>
      </c>
      <c r="S46" s="12">
        <v>3</v>
      </c>
      <c r="T46" s="1" t="s">
        <v>595</v>
      </c>
      <c r="U46" s="1" t="s">
        <v>596</v>
      </c>
      <c r="V46">
        <v>20260719</v>
      </c>
      <c r="W46">
        <v>46222.653275462966</v>
      </c>
    </row>
    <row r="47" spans="1:23" ht="30">
      <c r="A47" t="s">
        <v>222</v>
      </c>
      <c r="B47" t="s">
        <v>223</v>
      </c>
      <c r="C47" t="s">
        <v>16</v>
      </c>
      <c r="D47" t="s">
        <v>43</v>
      </c>
      <c r="E47" t="s">
        <v>208</v>
      </c>
      <c r="F47" s="1" t="s">
        <v>224</v>
      </c>
      <c r="G47" s="1" t="s">
        <v>225</v>
      </c>
      <c r="H47" s="1" t="s">
        <v>226</v>
      </c>
      <c r="I47">
        <v>32</v>
      </c>
      <c r="J47">
        <v>0</v>
      </c>
      <c r="K47">
        <v>3</v>
      </c>
      <c r="L47" s="11">
        <v>-9.375E-2</v>
      </c>
      <c r="M47" t="s">
        <v>594</v>
      </c>
      <c r="N47" s="12">
        <v>1</v>
      </c>
      <c r="O47" s="12">
        <v>3</v>
      </c>
      <c r="P47" s="12">
        <v>3</v>
      </c>
      <c r="Q47" s="12">
        <v>2</v>
      </c>
      <c r="R47" s="12">
        <v>3</v>
      </c>
      <c r="S47" s="12">
        <v>3</v>
      </c>
      <c r="T47" s="1" t="s">
        <v>595</v>
      </c>
      <c r="U47" s="1" t="s">
        <v>596</v>
      </c>
      <c r="V47">
        <v>20260719</v>
      </c>
      <c r="W47">
        <v>46222.653275462966</v>
      </c>
    </row>
    <row r="48" spans="1:23" ht="30">
      <c r="A48" t="s">
        <v>222</v>
      </c>
      <c r="B48" t="s">
        <v>223</v>
      </c>
      <c r="C48" t="s">
        <v>16</v>
      </c>
      <c r="D48" t="s">
        <v>43</v>
      </c>
      <c r="E48" t="s">
        <v>208</v>
      </c>
      <c r="F48" s="1" t="s">
        <v>224</v>
      </c>
      <c r="G48" s="1" t="s">
        <v>225</v>
      </c>
      <c r="H48" s="1" t="s">
        <v>226</v>
      </c>
      <c r="I48">
        <v>32</v>
      </c>
      <c r="J48">
        <v>0</v>
      </c>
      <c r="K48">
        <v>3</v>
      </c>
      <c r="L48" s="11">
        <v>-9.375E-2</v>
      </c>
      <c r="M48" t="s">
        <v>597</v>
      </c>
      <c r="N48" s="12">
        <v>1</v>
      </c>
      <c r="O48" s="12">
        <v>3</v>
      </c>
      <c r="P48" s="12">
        <v>3</v>
      </c>
      <c r="Q48" s="12">
        <v>2</v>
      </c>
      <c r="R48" s="12">
        <v>3</v>
      </c>
      <c r="S48" s="12">
        <v>3</v>
      </c>
      <c r="T48" s="1" t="s">
        <v>595</v>
      </c>
      <c r="U48" s="1" t="s">
        <v>596</v>
      </c>
      <c r="V48">
        <v>20260719</v>
      </c>
      <c r="W48">
        <v>46222.653275462966</v>
      </c>
    </row>
    <row r="49" spans="1:23" ht="30">
      <c r="A49" t="s">
        <v>222</v>
      </c>
      <c r="B49" t="s">
        <v>223</v>
      </c>
      <c r="C49" t="s">
        <v>16</v>
      </c>
      <c r="D49" t="s">
        <v>43</v>
      </c>
      <c r="E49" t="s">
        <v>208</v>
      </c>
      <c r="F49" s="1" t="s">
        <v>224</v>
      </c>
      <c r="G49" s="1" t="s">
        <v>225</v>
      </c>
      <c r="H49" s="1" t="s">
        <v>226</v>
      </c>
      <c r="I49">
        <v>32</v>
      </c>
      <c r="J49">
        <v>0</v>
      </c>
      <c r="K49">
        <v>3</v>
      </c>
      <c r="L49" s="11">
        <v>-9.375E-2</v>
      </c>
      <c r="M49" t="s">
        <v>598</v>
      </c>
      <c r="N49" s="12">
        <v>1</v>
      </c>
      <c r="O49" s="12">
        <v>3</v>
      </c>
      <c r="P49" s="12">
        <v>3</v>
      </c>
      <c r="Q49" s="12">
        <v>2</v>
      </c>
      <c r="R49" s="12">
        <v>3</v>
      </c>
      <c r="S49" s="12">
        <v>3</v>
      </c>
      <c r="T49" s="1" t="s">
        <v>595</v>
      </c>
      <c r="U49" s="1" t="s">
        <v>596</v>
      </c>
      <c r="V49">
        <v>20260719</v>
      </c>
      <c r="W49">
        <v>46222.653275462966</v>
      </c>
    </row>
    <row r="50" spans="1:23" ht="30">
      <c r="A50" t="s">
        <v>227</v>
      </c>
      <c r="B50" t="s">
        <v>228</v>
      </c>
      <c r="C50" t="s">
        <v>16</v>
      </c>
      <c r="D50" t="s">
        <v>43</v>
      </c>
      <c r="E50" t="s">
        <v>229</v>
      </c>
      <c r="F50" s="1" t="s">
        <v>230</v>
      </c>
      <c r="G50" s="1" t="s">
        <v>231</v>
      </c>
      <c r="H50" s="1" t="s">
        <v>232</v>
      </c>
      <c r="I50">
        <v>29</v>
      </c>
      <c r="J50">
        <v>0</v>
      </c>
      <c r="K50">
        <v>3</v>
      </c>
      <c r="L50" s="11">
        <v>-0.103448</v>
      </c>
      <c r="M50" t="s">
        <v>594</v>
      </c>
      <c r="N50" s="12">
        <v>0</v>
      </c>
      <c r="O50" s="12">
        <v>3</v>
      </c>
      <c r="P50" s="12">
        <v>2</v>
      </c>
      <c r="Q50" s="12">
        <v>1</v>
      </c>
      <c r="R50" s="12">
        <v>3</v>
      </c>
      <c r="S50" s="12">
        <v>2</v>
      </c>
      <c r="T50" s="1" t="s">
        <v>595</v>
      </c>
      <c r="U50" s="1" t="s">
        <v>596</v>
      </c>
      <c r="V50">
        <v>20260719</v>
      </c>
      <c r="W50">
        <v>46222.653275462966</v>
      </c>
    </row>
    <row r="51" spans="1:23" ht="30">
      <c r="A51" t="s">
        <v>227</v>
      </c>
      <c r="B51" t="s">
        <v>228</v>
      </c>
      <c r="C51" t="s">
        <v>16</v>
      </c>
      <c r="D51" t="s">
        <v>43</v>
      </c>
      <c r="E51" t="s">
        <v>229</v>
      </c>
      <c r="F51" s="1" t="s">
        <v>230</v>
      </c>
      <c r="G51" s="1" t="s">
        <v>231</v>
      </c>
      <c r="H51" s="1" t="s">
        <v>232</v>
      </c>
      <c r="I51">
        <v>29</v>
      </c>
      <c r="J51">
        <v>0</v>
      </c>
      <c r="K51">
        <v>3</v>
      </c>
      <c r="L51" s="11">
        <v>-0.103448</v>
      </c>
      <c r="M51" t="s">
        <v>597</v>
      </c>
      <c r="N51" s="12">
        <v>1</v>
      </c>
      <c r="O51" s="12">
        <v>2</v>
      </c>
      <c r="P51" s="12">
        <v>2</v>
      </c>
      <c r="Q51" s="12">
        <v>1</v>
      </c>
      <c r="R51" s="12">
        <v>3</v>
      </c>
      <c r="S51" s="12">
        <v>3</v>
      </c>
      <c r="T51" s="1" t="s">
        <v>595</v>
      </c>
      <c r="U51" s="1" t="s">
        <v>596</v>
      </c>
      <c r="V51">
        <v>20260719</v>
      </c>
      <c r="W51">
        <v>46222.653275462966</v>
      </c>
    </row>
    <row r="52" spans="1:23" ht="30">
      <c r="A52" t="s">
        <v>227</v>
      </c>
      <c r="B52" t="s">
        <v>228</v>
      </c>
      <c r="C52" t="s">
        <v>16</v>
      </c>
      <c r="D52" t="s">
        <v>43</v>
      </c>
      <c r="E52" t="s">
        <v>229</v>
      </c>
      <c r="F52" s="1" t="s">
        <v>230</v>
      </c>
      <c r="G52" s="1" t="s">
        <v>231</v>
      </c>
      <c r="H52" s="1" t="s">
        <v>232</v>
      </c>
      <c r="I52">
        <v>29</v>
      </c>
      <c r="J52">
        <v>0</v>
      </c>
      <c r="K52">
        <v>3</v>
      </c>
      <c r="L52" s="11">
        <v>-0.103448</v>
      </c>
      <c r="M52" t="s">
        <v>598</v>
      </c>
      <c r="N52" s="12">
        <v>0</v>
      </c>
      <c r="O52" s="12">
        <v>3</v>
      </c>
      <c r="P52" s="12">
        <v>2</v>
      </c>
      <c r="Q52" s="12">
        <v>1</v>
      </c>
      <c r="R52" s="12">
        <v>3</v>
      </c>
      <c r="S52" s="12">
        <v>2</v>
      </c>
      <c r="T52" s="1" t="s">
        <v>595</v>
      </c>
      <c r="U52" s="1" t="s">
        <v>596</v>
      </c>
      <c r="V52">
        <v>20260719</v>
      </c>
      <c r="W52">
        <v>46222.653275462966</v>
      </c>
    </row>
    <row r="53" spans="1:23" ht="45">
      <c r="A53" t="s">
        <v>233</v>
      </c>
      <c r="B53" t="s">
        <v>234</v>
      </c>
      <c r="C53" t="s">
        <v>16</v>
      </c>
      <c r="D53" t="s">
        <v>43</v>
      </c>
      <c r="E53" t="s">
        <v>229</v>
      </c>
      <c r="F53" s="1" t="s">
        <v>235</v>
      </c>
      <c r="G53" s="1" t="s">
        <v>236</v>
      </c>
      <c r="H53" s="1" t="s">
        <v>237</v>
      </c>
      <c r="I53">
        <v>35</v>
      </c>
      <c r="J53">
        <v>0</v>
      </c>
      <c r="K53">
        <v>3</v>
      </c>
      <c r="L53" s="11">
        <v>-8.5713999999999999E-2</v>
      </c>
      <c r="M53" t="s">
        <v>594</v>
      </c>
      <c r="N53" s="12">
        <v>0</v>
      </c>
      <c r="O53" s="12">
        <v>3</v>
      </c>
      <c r="P53" s="12">
        <v>3</v>
      </c>
      <c r="Q53" s="12">
        <v>0</v>
      </c>
      <c r="R53" s="12">
        <v>2</v>
      </c>
      <c r="S53" s="12">
        <v>2</v>
      </c>
      <c r="T53" s="1" t="s">
        <v>595</v>
      </c>
      <c r="U53" s="1" t="s">
        <v>596</v>
      </c>
      <c r="V53">
        <v>20260719</v>
      </c>
      <c r="W53">
        <v>46222.653275462966</v>
      </c>
    </row>
    <row r="54" spans="1:23" ht="45">
      <c r="A54" t="s">
        <v>233</v>
      </c>
      <c r="B54" t="s">
        <v>234</v>
      </c>
      <c r="C54" t="s">
        <v>16</v>
      </c>
      <c r="D54" t="s">
        <v>43</v>
      </c>
      <c r="E54" t="s">
        <v>229</v>
      </c>
      <c r="F54" s="1" t="s">
        <v>235</v>
      </c>
      <c r="G54" s="1" t="s">
        <v>236</v>
      </c>
      <c r="H54" s="1" t="s">
        <v>237</v>
      </c>
      <c r="I54">
        <v>35</v>
      </c>
      <c r="J54">
        <v>0</v>
      </c>
      <c r="K54">
        <v>3</v>
      </c>
      <c r="L54" s="11">
        <v>-8.5713999999999999E-2</v>
      </c>
      <c r="M54" t="s">
        <v>597</v>
      </c>
      <c r="N54" s="12">
        <v>0</v>
      </c>
      <c r="O54" s="12">
        <v>3</v>
      </c>
      <c r="P54" s="12">
        <v>2</v>
      </c>
      <c r="Q54" s="12">
        <v>0</v>
      </c>
      <c r="R54" s="12">
        <v>2</v>
      </c>
      <c r="S54" s="12">
        <v>3</v>
      </c>
      <c r="T54" s="1" t="s">
        <v>595</v>
      </c>
      <c r="U54" s="1" t="s">
        <v>596</v>
      </c>
      <c r="V54">
        <v>20260719</v>
      </c>
      <c r="W54">
        <v>46222.653275462966</v>
      </c>
    </row>
    <row r="55" spans="1:23" ht="45">
      <c r="A55" t="s">
        <v>233</v>
      </c>
      <c r="B55" t="s">
        <v>234</v>
      </c>
      <c r="C55" t="s">
        <v>16</v>
      </c>
      <c r="D55" t="s">
        <v>43</v>
      </c>
      <c r="E55" t="s">
        <v>229</v>
      </c>
      <c r="F55" s="1" t="s">
        <v>235</v>
      </c>
      <c r="G55" s="1" t="s">
        <v>236</v>
      </c>
      <c r="H55" s="1" t="s">
        <v>237</v>
      </c>
      <c r="I55">
        <v>35</v>
      </c>
      <c r="J55">
        <v>0</v>
      </c>
      <c r="K55">
        <v>3</v>
      </c>
      <c r="L55" s="11">
        <v>-8.5713999999999999E-2</v>
      </c>
      <c r="M55" t="s">
        <v>598</v>
      </c>
      <c r="N55" s="12">
        <v>0</v>
      </c>
      <c r="O55" s="12">
        <v>3</v>
      </c>
      <c r="P55" s="12">
        <v>3</v>
      </c>
      <c r="Q55" s="12">
        <v>1</v>
      </c>
      <c r="R55" s="12">
        <v>2</v>
      </c>
      <c r="S55" s="12">
        <v>2</v>
      </c>
      <c r="T55" s="1" t="s">
        <v>595</v>
      </c>
      <c r="U55" s="1" t="s">
        <v>596</v>
      </c>
      <c r="V55">
        <v>20260719</v>
      </c>
      <c r="W55">
        <v>46222.653275462966</v>
      </c>
    </row>
    <row r="56" spans="1:23" ht="30">
      <c r="A56" t="s">
        <v>238</v>
      </c>
      <c r="B56" t="s">
        <v>239</v>
      </c>
      <c r="C56" t="s">
        <v>16</v>
      </c>
      <c r="D56" t="s">
        <v>43</v>
      </c>
      <c r="E56" t="s">
        <v>229</v>
      </c>
      <c r="F56" s="1" t="s">
        <v>240</v>
      </c>
      <c r="G56" s="1" t="s">
        <v>241</v>
      </c>
      <c r="H56" s="1" t="s">
        <v>242</v>
      </c>
      <c r="I56">
        <v>32</v>
      </c>
      <c r="J56">
        <v>0</v>
      </c>
      <c r="K56">
        <v>3</v>
      </c>
      <c r="L56" s="11">
        <v>-9.375E-2</v>
      </c>
      <c r="M56" t="s">
        <v>594</v>
      </c>
      <c r="N56" s="12">
        <v>0</v>
      </c>
      <c r="O56" s="12">
        <v>2</v>
      </c>
      <c r="P56" s="12">
        <v>2</v>
      </c>
      <c r="Q56" s="12">
        <v>1</v>
      </c>
      <c r="R56" s="12">
        <v>2</v>
      </c>
      <c r="S56" s="12">
        <v>2</v>
      </c>
      <c r="T56" s="1" t="s">
        <v>595</v>
      </c>
      <c r="U56" s="1" t="s">
        <v>596</v>
      </c>
      <c r="V56">
        <v>20260719</v>
      </c>
      <c r="W56">
        <v>46222.653275462966</v>
      </c>
    </row>
    <row r="57" spans="1:23" ht="30">
      <c r="A57" t="s">
        <v>238</v>
      </c>
      <c r="B57" t="s">
        <v>239</v>
      </c>
      <c r="C57" t="s">
        <v>16</v>
      </c>
      <c r="D57" t="s">
        <v>43</v>
      </c>
      <c r="E57" t="s">
        <v>229</v>
      </c>
      <c r="F57" s="1" t="s">
        <v>240</v>
      </c>
      <c r="G57" s="1" t="s">
        <v>241</v>
      </c>
      <c r="H57" s="1" t="s">
        <v>242</v>
      </c>
      <c r="I57">
        <v>32</v>
      </c>
      <c r="J57">
        <v>0</v>
      </c>
      <c r="K57">
        <v>3</v>
      </c>
      <c r="L57" s="11">
        <v>-9.375E-2</v>
      </c>
      <c r="M57" t="s">
        <v>597</v>
      </c>
      <c r="N57" s="12">
        <v>0</v>
      </c>
      <c r="O57" s="12">
        <v>2</v>
      </c>
      <c r="P57" s="12">
        <v>2</v>
      </c>
      <c r="Q57" s="12">
        <v>0</v>
      </c>
      <c r="R57" s="12">
        <v>2</v>
      </c>
      <c r="S57" s="12">
        <v>2</v>
      </c>
      <c r="T57" s="1" t="s">
        <v>595</v>
      </c>
      <c r="U57" s="1" t="s">
        <v>596</v>
      </c>
      <c r="V57">
        <v>20260719</v>
      </c>
      <c r="W57">
        <v>46222.653275462966</v>
      </c>
    </row>
    <row r="58" spans="1:23" ht="30">
      <c r="A58" t="s">
        <v>238</v>
      </c>
      <c r="B58" t="s">
        <v>239</v>
      </c>
      <c r="C58" t="s">
        <v>16</v>
      </c>
      <c r="D58" t="s">
        <v>43</v>
      </c>
      <c r="E58" t="s">
        <v>229</v>
      </c>
      <c r="F58" s="1" t="s">
        <v>240</v>
      </c>
      <c r="G58" s="1" t="s">
        <v>241</v>
      </c>
      <c r="H58" s="1" t="s">
        <v>242</v>
      </c>
      <c r="I58">
        <v>32</v>
      </c>
      <c r="J58">
        <v>0</v>
      </c>
      <c r="K58">
        <v>3</v>
      </c>
      <c r="L58" s="11">
        <v>-9.375E-2</v>
      </c>
      <c r="M58" t="s">
        <v>598</v>
      </c>
      <c r="N58" s="12">
        <v>0</v>
      </c>
      <c r="O58" s="12">
        <v>2</v>
      </c>
      <c r="P58" s="12">
        <v>2</v>
      </c>
      <c r="Q58" s="12">
        <v>1</v>
      </c>
      <c r="R58" s="12">
        <v>2</v>
      </c>
      <c r="S58" s="12">
        <v>2</v>
      </c>
      <c r="T58" s="1" t="s">
        <v>595</v>
      </c>
      <c r="U58" s="1" t="s">
        <v>596</v>
      </c>
      <c r="V58">
        <v>20260719</v>
      </c>
      <c r="W58">
        <v>46222.653275462966</v>
      </c>
    </row>
    <row r="59" spans="1:23" ht="30">
      <c r="A59" t="s">
        <v>243</v>
      </c>
      <c r="B59" t="s">
        <v>244</v>
      </c>
      <c r="C59" t="s">
        <v>16</v>
      </c>
      <c r="D59" t="s">
        <v>43</v>
      </c>
      <c r="E59" t="s">
        <v>229</v>
      </c>
      <c r="F59" s="1" t="s">
        <v>245</v>
      </c>
      <c r="G59" s="1" t="s">
        <v>246</v>
      </c>
      <c r="H59" s="1" t="s">
        <v>247</v>
      </c>
      <c r="I59">
        <v>30</v>
      </c>
      <c r="J59">
        <v>0</v>
      </c>
      <c r="K59">
        <v>3</v>
      </c>
      <c r="L59" s="11">
        <v>-0.1</v>
      </c>
      <c r="M59" t="s">
        <v>594</v>
      </c>
      <c r="N59" s="12">
        <v>0</v>
      </c>
      <c r="O59" s="12">
        <v>3</v>
      </c>
      <c r="P59" s="12">
        <v>3</v>
      </c>
      <c r="Q59" s="12">
        <v>0</v>
      </c>
      <c r="R59" s="12">
        <v>3</v>
      </c>
      <c r="S59" s="12">
        <v>3</v>
      </c>
      <c r="T59" s="1" t="s">
        <v>595</v>
      </c>
      <c r="U59" s="1" t="s">
        <v>596</v>
      </c>
      <c r="V59">
        <v>20260719</v>
      </c>
      <c r="W59">
        <v>46222.653275462966</v>
      </c>
    </row>
    <row r="60" spans="1:23" ht="30">
      <c r="A60" t="s">
        <v>243</v>
      </c>
      <c r="B60" t="s">
        <v>244</v>
      </c>
      <c r="C60" t="s">
        <v>16</v>
      </c>
      <c r="D60" t="s">
        <v>43</v>
      </c>
      <c r="E60" t="s">
        <v>229</v>
      </c>
      <c r="F60" s="1" t="s">
        <v>245</v>
      </c>
      <c r="G60" s="1" t="s">
        <v>246</v>
      </c>
      <c r="H60" s="1" t="s">
        <v>247</v>
      </c>
      <c r="I60">
        <v>30</v>
      </c>
      <c r="J60">
        <v>0</v>
      </c>
      <c r="K60">
        <v>3</v>
      </c>
      <c r="L60" s="11">
        <v>-0.1</v>
      </c>
      <c r="M60" t="s">
        <v>597</v>
      </c>
      <c r="N60" s="12">
        <v>0</v>
      </c>
      <c r="O60" s="12">
        <v>3</v>
      </c>
      <c r="P60" s="12">
        <v>3</v>
      </c>
      <c r="Q60" s="12">
        <v>0</v>
      </c>
      <c r="R60" s="12">
        <v>3</v>
      </c>
      <c r="S60" s="12">
        <v>3</v>
      </c>
      <c r="T60" s="1" t="s">
        <v>595</v>
      </c>
      <c r="U60" s="1" t="s">
        <v>596</v>
      </c>
      <c r="V60">
        <v>20260719</v>
      </c>
      <c r="W60">
        <v>46222.653275462966</v>
      </c>
    </row>
    <row r="61" spans="1:23" ht="30">
      <c r="A61" t="s">
        <v>243</v>
      </c>
      <c r="B61" t="s">
        <v>244</v>
      </c>
      <c r="C61" t="s">
        <v>16</v>
      </c>
      <c r="D61" t="s">
        <v>43</v>
      </c>
      <c r="E61" t="s">
        <v>229</v>
      </c>
      <c r="F61" s="1" t="s">
        <v>245</v>
      </c>
      <c r="G61" s="1" t="s">
        <v>246</v>
      </c>
      <c r="H61" s="1" t="s">
        <v>247</v>
      </c>
      <c r="I61">
        <v>30</v>
      </c>
      <c r="J61">
        <v>0</v>
      </c>
      <c r="K61">
        <v>3</v>
      </c>
      <c r="L61" s="11">
        <v>-0.1</v>
      </c>
      <c r="M61" t="s">
        <v>598</v>
      </c>
      <c r="N61" s="12">
        <v>0</v>
      </c>
      <c r="O61" s="12">
        <v>3</v>
      </c>
      <c r="P61" s="12">
        <v>3</v>
      </c>
      <c r="Q61" s="12">
        <v>0</v>
      </c>
      <c r="R61" s="12">
        <v>3</v>
      </c>
      <c r="S61" s="12">
        <v>3</v>
      </c>
      <c r="T61" s="1" t="s">
        <v>595</v>
      </c>
      <c r="U61" s="1" t="s">
        <v>596</v>
      </c>
      <c r="V61">
        <v>20260719</v>
      </c>
      <c r="W61">
        <v>46222.653275462966</v>
      </c>
    </row>
    <row r="62" spans="1:23" ht="45">
      <c r="A62" t="s">
        <v>248</v>
      </c>
      <c r="B62" t="s">
        <v>249</v>
      </c>
      <c r="C62" t="s">
        <v>16</v>
      </c>
      <c r="D62" t="s">
        <v>43</v>
      </c>
      <c r="E62" t="s">
        <v>250</v>
      </c>
      <c r="F62" s="1" t="s">
        <v>251</v>
      </c>
      <c r="G62" s="1" t="s">
        <v>252</v>
      </c>
      <c r="H62" s="1" t="s">
        <v>253</v>
      </c>
      <c r="I62">
        <v>31</v>
      </c>
      <c r="J62">
        <v>0</v>
      </c>
      <c r="K62">
        <v>4</v>
      </c>
      <c r="L62" s="11">
        <v>-0.12903200000000001</v>
      </c>
      <c r="M62" t="s">
        <v>594</v>
      </c>
      <c r="N62" s="12">
        <v>1</v>
      </c>
      <c r="O62" s="12">
        <v>2</v>
      </c>
      <c r="P62" s="12">
        <v>2</v>
      </c>
      <c r="Q62" s="12">
        <v>1</v>
      </c>
      <c r="R62" s="12">
        <v>2</v>
      </c>
      <c r="S62" s="12">
        <v>2</v>
      </c>
      <c r="T62" s="1" t="s">
        <v>595</v>
      </c>
      <c r="U62" s="1" t="s">
        <v>596</v>
      </c>
      <c r="V62">
        <v>20260719</v>
      </c>
      <c r="W62">
        <v>46222.653275462966</v>
      </c>
    </row>
    <row r="63" spans="1:23" ht="45">
      <c r="A63" t="s">
        <v>248</v>
      </c>
      <c r="B63" t="s">
        <v>249</v>
      </c>
      <c r="C63" t="s">
        <v>16</v>
      </c>
      <c r="D63" t="s">
        <v>43</v>
      </c>
      <c r="E63" t="s">
        <v>250</v>
      </c>
      <c r="F63" s="1" t="s">
        <v>251</v>
      </c>
      <c r="G63" s="1" t="s">
        <v>252</v>
      </c>
      <c r="H63" s="1" t="s">
        <v>253</v>
      </c>
      <c r="I63">
        <v>31</v>
      </c>
      <c r="J63">
        <v>0</v>
      </c>
      <c r="K63">
        <v>4</v>
      </c>
      <c r="L63" s="11">
        <v>-0.12903200000000001</v>
      </c>
      <c r="M63" t="s">
        <v>597</v>
      </c>
      <c r="N63" s="12">
        <v>1</v>
      </c>
      <c r="O63" s="12">
        <v>2</v>
      </c>
      <c r="P63" s="12">
        <v>3</v>
      </c>
      <c r="Q63" s="12">
        <v>2</v>
      </c>
      <c r="R63" s="12">
        <v>2</v>
      </c>
      <c r="S63" s="12">
        <v>2</v>
      </c>
      <c r="T63" s="1" t="s">
        <v>595</v>
      </c>
      <c r="U63" s="1" t="s">
        <v>596</v>
      </c>
      <c r="V63">
        <v>20260719</v>
      </c>
      <c r="W63">
        <v>46222.653275462966</v>
      </c>
    </row>
    <row r="64" spans="1:23" ht="45">
      <c r="A64" t="s">
        <v>248</v>
      </c>
      <c r="B64" t="s">
        <v>249</v>
      </c>
      <c r="C64" t="s">
        <v>16</v>
      </c>
      <c r="D64" t="s">
        <v>43</v>
      </c>
      <c r="E64" t="s">
        <v>250</v>
      </c>
      <c r="F64" s="1" t="s">
        <v>251</v>
      </c>
      <c r="G64" s="1" t="s">
        <v>252</v>
      </c>
      <c r="H64" s="1" t="s">
        <v>253</v>
      </c>
      <c r="I64">
        <v>31</v>
      </c>
      <c r="J64">
        <v>0</v>
      </c>
      <c r="K64">
        <v>4</v>
      </c>
      <c r="L64" s="11">
        <v>-0.12903200000000001</v>
      </c>
      <c r="M64" t="s">
        <v>598</v>
      </c>
      <c r="N64" s="12">
        <v>1</v>
      </c>
      <c r="O64" s="12">
        <v>2</v>
      </c>
      <c r="P64" s="12">
        <v>3</v>
      </c>
      <c r="Q64" s="12">
        <v>2</v>
      </c>
      <c r="R64" s="12">
        <v>2</v>
      </c>
      <c r="S64" s="12">
        <v>2</v>
      </c>
      <c r="T64" s="1" t="s">
        <v>595</v>
      </c>
      <c r="U64" s="1" t="s">
        <v>596</v>
      </c>
      <c r="V64">
        <v>20260719</v>
      </c>
      <c r="W64">
        <v>46222.653275462966</v>
      </c>
    </row>
    <row r="65" spans="1:23" ht="45">
      <c r="A65" t="s">
        <v>254</v>
      </c>
      <c r="B65" t="s">
        <v>255</v>
      </c>
      <c r="C65" t="s">
        <v>16</v>
      </c>
      <c r="D65" t="s">
        <v>43</v>
      </c>
      <c r="E65" t="s">
        <v>250</v>
      </c>
      <c r="F65" s="1" t="s">
        <v>256</v>
      </c>
      <c r="G65" s="1" t="s">
        <v>257</v>
      </c>
      <c r="H65" s="1" t="s">
        <v>258</v>
      </c>
      <c r="I65">
        <v>33</v>
      </c>
      <c r="J65">
        <v>0</v>
      </c>
      <c r="K65">
        <v>3</v>
      </c>
      <c r="L65" s="11">
        <v>-9.0909000000000004E-2</v>
      </c>
      <c r="M65" t="s">
        <v>594</v>
      </c>
      <c r="N65" s="12">
        <v>1</v>
      </c>
      <c r="O65" s="12">
        <v>3</v>
      </c>
      <c r="P65" s="12">
        <v>3</v>
      </c>
      <c r="Q65" s="12">
        <v>1</v>
      </c>
      <c r="R65" s="12">
        <v>3</v>
      </c>
      <c r="S65" s="12">
        <v>3</v>
      </c>
      <c r="T65" s="1" t="s">
        <v>595</v>
      </c>
      <c r="U65" s="1" t="s">
        <v>596</v>
      </c>
      <c r="V65">
        <v>20260719</v>
      </c>
      <c r="W65">
        <v>46222.653275462966</v>
      </c>
    </row>
    <row r="66" spans="1:23" ht="45">
      <c r="A66" t="s">
        <v>254</v>
      </c>
      <c r="B66" t="s">
        <v>255</v>
      </c>
      <c r="C66" t="s">
        <v>16</v>
      </c>
      <c r="D66" t="s">
        <v>43</v>
      </c>
      <c r="E66" t="s">
        <v>250</v>
      </c>
      <c r="F66" s="1" t="s">
        <v>256</v>
      </c>
      <c r="G66" s="1" t="s">
        <v>257</v>
      </c>
      <c r="H66" s="1" t="s">
        <v>258</v>
      </c>
      <c r="I66">
        <v>33</v>
      </c>
      <c r="J66">
        <v>0</v>
      </c>
      <c r="K66">
        <v>3</v>
      </c>
      <c r="L66" s="11">
        <v>-9.0909000000000004E-2</v>
      </c>
      <c r="M66" t="s">
        <v>597</v>
      </c>
      <c r="N66" s="12">
        <v>1</v>
      </c>
      <c r="O66" s="12">
        <v>3</v>
      </c>
      <c r="P66" s="12">
        <v>3</v>
      </c>
      <c r="Q66" s="12">
        <v>1</v>
      </c>
      <c r="R66" s="12">
        <v>3</v>
      </c>
      <c r="S66" s="12">
        <v>3</v>
      </c>
      <c r="T66" s="1" t="s">
        <v>595</v>
      </c>
      <c r="U66" s="1" t="s">
        <v>596</v>
      </c>
      <c r="V66">
        <v>20260719</v>
      </c>
      <c r="W66">
        <v>46222.653275462966</v>
      </c>
    </row>
    <row r="67" spans="1:23" ht="45">
      <c r="A67" t="s">
        <v>254</v>
      </c>
      <c r="B67" t="s">
        <v>255</v>
      </c>
      <c r="C67" t="s">
        <v>16</v>
      </c>
      <c r="D67" t="s">
        <v>43</v>
      </c>
      <c r="E67" t="s">
        <v>250</v>
      </c>
      <c r="F67" s="1" t="s">
        <v>256</v>
      </c>
      <c r="G67" s="1" t="s">
        <v>257</v>
      </c>
      <c r="H67" s="1" t="s">
        <v>258</v>
      </c>
      <c r="I67">
        <v>33</v>
      </c>
      <c r="J67">
        <v>0</v>
      </c>
      <c r="K67">
        <v>3</v>
      </c>
      <c r="L67" s="11">
        <v>-9.0909000000000004E-2</v>
      </c>
      <c r="M67" t="s">
        <v>598</v>
      </c>
      <c r="N67" s="12">
        <v>1</v>
      </c>
      <c r="O67" s="12">
        <v>3</v>
      </c>
      <c r="P67" s="12">
        <v>3</v>
      </c>
      <c r="Q67" s="12">
        <v>0</v>
      </c>
      <c r="R67" s="12">
        <v>3</v>
      </c>
      <c r="S67" s="12">
        <v>3</v>
      </c>
      <c r="T67" s="1" t="s">
        <v>595</v>
      </c>
      <c r="U67" s="1" t="s">
        <v>596</v>
      </c>
      <c r="V67">
        <v>20260719</v>
      </c>
      <c r="W67">
        <v>46222.653275462966</v>
      </c>
    </row>
    <row r="68" spans="1:23" ht="30">
      <c r="A68" t="s">
        <v>259</v>
      </c>
      <c r="B68" t="s">
        <v>260</v>
      </c>
      <c r="C68" t="s">
        <v>16</v>
      </c>
      <c r="D68" t="s">
        <v>43</v>
      </c>
      <c r="E68" t="s">
        <v>250</v>
      </c>
      <c r="F68" s="1" t="s">
        <v>261</v>
      </c>
      <c r="G68" s="1" t="s">
        <v>262</v>
      </c>
      <c r="H68" s="1" t="s">
        <v>263</v>
      </c>
      <c r="I68">
        <v>28</v>
      </c>
      <c r="J68">
        <v>0</v>
      </c>
      <c r="K68">
        <v>3</v>
      </c>
      <c r="L68" s="11">
        <v>-0.107143</v>
      </c>
      <c r="M68" t="s">
        <v>594</v>
      </c>
      <c r="N68" s="12">
        <v>0</v>
      </c>
      <c r="O68" s="12">
        <v>2</v>
      </c>
      <c r="P68" s="12">
        <v>2</v>
      </c>
      <c r="Q68" s="12">
        <v>1</v>
      </c>
      <c r="R68" s="12">
        <v>2</v>
      </c>
      <c r="S68" s="12">
        <v>2</v>
      </c>
      <c r="T68" s="1" t="s">
        <v>595</v>
      </c>
      <c r="U68" s="1" t="s">
        <v>596</v>
      </c>
      <c r="V68">
        <v>20260719</v>
      </c>
      <c r="W68">
        <v>46222.653275462966</v>
      </c>
    </row>
    <row r="69" spans="1:23" ht="30">
      <c r="A69" t="s">
        <v>259</v>
      </c>
      <c r="B69" t="s">
        <v>260</v>
      </c>
      <c r="C69" t="s">
        <v>16</v>
      </c>
      <c r="D69" t="s">
        <v>43</v>
      </c>
      <c r="E69" t="s">
        <v>250</v>
      </c>
      <c r="F69" s="1" t="s">
        <v>261</v>
      </c>
      <c r="G69" s="1" t="s">
        <v>262</v>
      </c>
      <c r="H69" s="1" t="s">
        <v>263</v>
      </c>
      <c r="I69">
        <v>28</v>
      </c>
      <c r="J69">
        <v>0</v>
      </c>
      <c r="K69">
        <v>3</v>
      </c>
      <c r="L69" s="11">
        <v>-0.107143</v>
      </c>
      <c r="M69" t="s">
        <v>597</v>
      </c>
      <c r="N69" s="12">
        <v>0</v>
      </c>
      <c r="O69" s="12">
        <v>2</v>
      </c>
      <c r="P69" s="12">
        <v>2</v>
      </c>
      <c r="Q69" s="12">
        <v>1</v>
      </c>
      <c r="R69" s="12">
        <v>3</v>
      </c>
      <c r="S69" s="12">
        <v>2</v>
      </c>
      <c r="T69" s="1" t="s">
        <v>595</v>
      </c>
      <c r="U69" s="1" t="s">
        <v>596</v>
      </c>
      <c r="V69">
        <v>20260719</v>
      </c>
      <c r="W69">
        <v>46222.653275462966</v>
      </c>
    </row>
    <row r="70" spans="1:23" ht="30">
      <c r="A70" t="s">
        <v>259</v>
      </c>
      <c r="B70" t="s">
        <v>260</v>
      </c>
      <c r="C70" t="s">
        <v>16</v>
      </c>
      <c r="D70" t="s">
        <v>43</v>
      </c>
      <c r="E70" t="s">
        <v>250</v>
      </c>
      <c r="F70" s="1" t="s">
        <v>261</v>
      </c>
      <c r="G70" s="1" t="s">
        <v>262</v>
      </c>
      <c r="H70" s="1" t="s">
        <v>263</v>
      </c>
      <c r="I70">
        <v>28</v>
      </c>
      <c r="J70">
        <v>0</v>
      </c>
      <c r="K70">
        <v>3</v>
      </c>
      <c r="L70" s="11">
        <v>-0.107143</v>
      </c>
      <c r="M70" t="s">
        <v>598</v>
      </c>
      <c r="N70" s="12">
        <v>0</v>
      </c>
      <c r="O70" s="12">
        <v>2</v>
      </c>
      <c r="P70" s="12">
        <v>3</v>
      </c>
      <c r="Q70" s="12">
        <v>0</v>
      </c>
      <c r="R70" s="12">
        <v>3</v>
      </c>
      <c r="S70" s="12">
        <v>2</v>
      </c>
      <c r="T70" s="1" t="s">
        <v>595</v>
      </c>
      <c r="U70" s="1" t="s">
        <v>596</v>
      </c>
      <c r="V70">
        <v>20260719</v>
      </c>
      <c r="W70">
        <v>46222.653275462966</v>
      </c>
    </row>
    <row r="71" spans="1:23" ht="45">
      <c r="A71" t="s">
        <v>264</v>
      </c>
      <c r="B71" t="s">
        <v>265</v>
      </c>
      <c r="C71" t="s">
        <v>16</v>
      </c>
      <c r="D71" t="s">
        <v>43</v>
      </c>
      <c r="E71" t="s">
        <v>250</v>
      </c>
      <c r="F71" s="1" t="s">
        <v>266</v>
      </c>
      <c r="G71" s="1" t="s">
        <v>267</v>
      </c>
      <c r="H71" s="1" t="s">
        <v>268</v>
      </c>
      <c r="I71">
        <v>33</v>
      </c>
      <c r="J71">
        <v>0</v>
      </c>
      <c r="K71">
        <v>3</v>
      </c>
      <c r="L71" s="11">
        <v>-9.0909000000000004E-2</v>
      </c>
      <c r="M71" t="s">
        <v>594</v>
      </c>
      <c r="N71" s="12">
        <v>0</v>
      </c>
      <c r="O71" s="12">
        <v>3</v>
      </c>
      <c r="P71" s="12">
        <v>3</v>
      </c>
      <c r="Q71" s="12">
        <v>0</v>
      </c>
      <c r="R71" s="12">
        <v>3</v>
      </c>
      <c r="S71" s="12">
        <v>2</v>
      </c>
      <c r="T71" s="1" t="s">
        <v>595</v>
      </c>
      <c r="U71" s="1" t="s">
        <v>596</v>
      </c>
      <c r="V71">
        <v>20260719</v>
      </c>
      <c r="W71">
        <v>46222.653275462966</v>
      </c>
    </row>
    <row r="72" spans="1:23" ht="45">
      <c r="A72" t="s">
        <v>264</v>
      </c>
      <c r="B72" t="s">
        <v>265</v>
      </c>
      <c r="C72" t="s">
        <v>16</v>
      </c>
      <c r="D72" t="s">
        <v>43</v>
      </c>
      <c r="E72" t="s">
        <v>250</v>
      </c>
      <c r="F72" s="1" t="s">
        <v>266</v>
      </c>
      <c r="G72" s="1" t="s">
        <v>267</v>
      </c>
      <c r="H72" s="1" t="s">
        <v>268</v>
      </c>
      <c r="I72">
        <v>33</v>
      </c>
      <c r="J72">
        <v>0</v>
      </c>
      <c r="K72">
        <v>3</v>
      </c>
      <c r="L72" s="11">
        <v>-9.0909000000000004E-2</v>
      </c>
      <c r="M72" t="s">
        <v>597</v>
      </c>
      <c r="N72" s="12">
        <v>0</v>
      </c>
      <c r="O72" s="12">
        <v>3</v>
      </c>
      <c r="P72" s="12">
        <v>3</v>
      </c>
      <c r="Q72" s="12">
        <v>1</v>
      </c>
      <c r="R72" s="12">
        <v>3</v>
      </c>
      <c r="S72" s="12">
        <v>3</v>
      </c>
      <c r="T72" s="1" t="s">
        <v>595</v>
      </c>
      <c r="U72" s="1" t="s">
        <v>596</v>
      </c>
      <c r="V72">
        <v>20260719</v>
      </c>
      <c r="W72">
        <v>46222.653275462966</v>
      </c>
    </row>
    <row r="73" spans="1:23" ht="45">
      <c r="A73" t="s">
        <v>264</v>
      </c>
      <c r="B73" t="s">
        <v>265</v>
      </c>
      <c r="C73" t="s">
        <v>16</v>
      </c>
      <c r="D73" t="s">
        <v>43</v>
      </c>
      <c r="E73" t="s">
        <v>250</v>
      </c>
      <c r="F73" s="1" t="s">
        <v>266</v>
      </c>
      <c r="G73" s="1" t="s">
        <v>267</v>
      </c>
      <c r="H73" s="1" t="s">
        <v>268</v>
      </c>
      <c r="I73">
        <v>33</v>
      </c>
      <c r="J73">
        <v>0</v>
      </c>
      <c r="K73">
        <v>3</v>
      </c>
      <c r="L73" s="11">
        <v>-9.0909000000000004E-2</v>
      </c>
      <c r="M73" t="s">
        <v>598</v>
      </c>
      <c r="N73" s="12">
        <v>0</v>
      </c>
      <c r="O73" s="12">
        <v>3</v>
      </c>
      <c r="P73" s="12">
        <v>3</v>
      </c>
      <c r="Q73" s="12">
        <v>1</v>
      </c>
      <c r="R73" s="12">
        <v>3</v>
      </c>
      <c r="S73" s="12">
        <v>2</v>
      </c>
      <c r="T73" s="1" t="s">
        <v>595</v>
      </c>
      <c r="U73" s="1" t="s">
        <v>596</v>
      </c>
      <c r="V73">
        <v>20260719</v>
      </c>
      <c r="W73">
        <v>46222.653275462966</v>
      </c>
    </row>
    <row r="74" spans="1:23" ht="45">
      <c r="A74" t="s">
        <v>269</v>
      </c>
      <c r="B74" t="s">
        <v>142</v>
      </c>
      <c r="C74" t="s">
        <v>17</v>
      </c>
      <c r="D74" t="s">
        <v>45</v>
      </c>
      <c r="E74" t="s">
        <v>143</v>
      </c>
      <c r="F74" s="1" t="s">
        <v>144</v>
      </c>
      <c r="G74" s="1" t="s">
        <v>145</v>
      </c>
      <c r="H74" s="1" t="s">
        <v>270</v>
      </c>
      <c r="I74">
        <v>36</v>
      </c>
      <c r="J74">
        <v>0</v>
      </c>
      <c r="K74">
        <v>5</v>
      </c>
      <c r="L74" s="11">
        <v>-0.13888900000000001</v>
      </c>
      <c r="M74" t="s">
        <v>594</v>
      </c>
      <c r="N74" s="12">
        <v>1</v>
      </c>
      <c r="O74" s="12">
        <v>3</v>
      </c>
      <c r="P74" s="12">
        <v>3</v>
      </c>
      <c r="Q74" s="12">
        <v>0</v>
      </c>
      <c r="R74" s="12">
        <v>2</v>
      </c>
      <c r="S74" s="12">
        <v>3</v>
      </c>
      <c r="T74" s="1" t="s">
        <v>595</v>
      </c>
      <c r="U74" s="1" t="s">
        <v>596</v>
      </c>
      <c r="V74">
        <v>20260719</v>
      </c>
      <c r="W74">
        <v>46222.653275462966</v>
      </c>
    </row>
    <row r="75" spans="1:23" ht="45">
      <c r="A75" t="s">
        <v>269</v>
      </c>
      <c r="B75" t="s">
        <v>142</v>
      </c>
      <c r="C75" t="s">
        <v>17</v>
      </c>
      <c r="D75" t="s">
        <v>45</v>
      </c>
      <c r="E75" t="s">
        <v>143</v>
      </c>
      <c r="F75" s="1" t="s">
        <v>144</v>
      </c>
      <c r="G75" s="1" t="s">
        <v>145</v>
      </c>
      <c r="H75" s="1" t="s">
        <v>270</v>
      </c>
      <c r="I75">
        <v>36</v>
      </c>
      <c r="J75">
        <v>0</v>
      </c>
      <c r="K75">
        <v>5</v>
      </c>
      <c r="L75" s="11">
        <v>-0.13888900000000001</v>
      </c>
      <c r="M75" t="s">
        <v>597</v>
      </c>
      <c r="N75" s="12">
        <v>0</v>
      </c>
      <c r="O75" s="12">
        <v>3</v>
      </c>
      <c r="P75" s="12">
        <v>3</v>
      </c>
      <c r="Q75" s="12">
        <v>0</v>
      </c>
      <c r="R75" s="12">
        <v>2</v>
      </c>
      <c r="S75" s="12">
        <v>3</v>
      </c>
      <c r="T75" s="1" t="s">
        <v>595</v>
      </c>
      <c r="U75" s="1" t="s">
        <v>596</v>
      </c>
      <c r="V75">
        <v>20260719</v>
      </c>
      <c r="W75">
        <v>46222.653275462966</v>
      </c>
    </row>
    <row r="76" spans="1:23" ht="45">
      <c r="A76" t="s">
        <v>269</v>
      </c>
      <c r="B76" t="s">
        <v>142</v>
      </c>
      <c r="C76" t="s">
        <v>17</v>
      </c>
      <c r="D76" t="s">
        <v>45</v>
      </c>
      <c r="E76" t="s">
        <v>143</v>
      </c>
      <c r="F76" s="1" t="s">
        <v>144</v>
      </c>
      <c r="G76" s="1" t="s">
        <v>145</v>
      </c>
      <c r="H76" s="1" t="s">
        <v>270</v>
      </c>
      <c r="I76">
        <v>36</v>
      </c>
      <c r="J76">
        <v>0</v>
      </c>
      <c r="K76">
        <v>5</v>
      </c>
      <c r="L76" s="11">
        <v>-0.13888900000000001</v>
      </c>
      <c r="M76" t="s">
        <v>598</v>
      </c>
      <c r="N76" s="12">
        <v>0</v>
      </c>
      <c r="O76" s="12">
        <v>3</v>
      </c>
      <c r="P76" s="12">
        <v>3</v>
      </c>
      <c r="Q76" s="12">
        <v>1</v>
      </c>
      <c r="R76" s="12">
        <v>3</v>
      </c>
      <c r="S76" s="12">
        <v>3</v>
      </c>
      <c r="T76" s="1" t="s">
        <v>595</v>
      </c>
      <c r="U76" s="1" t="s">
        <v>596</v>
      </c>
      <c r="V76">
        <v>20260719</v>
      </c>
      <c r="W76">
        <v>46222.653275462966</v>
      </c>
    </row>
    <row r="77" spans="1:23" ht="45">
      <c r="A77" t="s">
        <v>272</v>
      </c>
      <c r="B77" t="s">
        <v>149</v>
      </c>
      <c r="C77" t="s">
        <v>17</v>
      </c>
      <c r="D77" t="s">
        <v>45</v>
      </c>
      <c r="E77" t="s">
        <v>143</v>
      </c>
      <c r="F77" s="1" t="s">
        <v>150</v>
      </c>
      <c r="G77" s="1" t="s">
        <v>151</v>
      </c>
      <c r="H77" s="1" t="s">
        <v>273</v>
      </c>
      <c r="I77">
        <v>36</v>
      </c>
      <c r="J77">
        <v>0</v>
      </c>
      <c r="K77">
        <v>5</v>
      </c>
      <c r="L77" s="11">
        <v>-0.13888900000000001</v>
      </c>
      <c r="M77" t="s">
        <v>594</v>
      </c>
      <c r="N77" s="12">
        <v>0</v>
      </c>
      <c r="O77" s="12">
        <v>2</v>
      </c>
      <c r="P77" s="12">
        <v>3</v>
      </c>
      <c r="Q77" s="12">
        <v>0</v>
      </c>
      <c r="R77" s="12">
        <v>2</v>
      </c>
      <c r="S77" s="12">
        <v>2</v>
      </c>
      <c r="T77" s="1" t="s">
        <v>595</v>
      </c>
      <c r="U77" s="1" t="s">
        <v>596</v>
      </c>
      <c r="V77">
        <v>20260719</v>
      </c>
      <c r="W77">
        <v>46222.653275462966</v>
      </c>
    </row>
    <row r="78" spans="1:23" ht="45">
      <c r="A78" t="s">
        <v>272</v>
      </c>
      <c r="B78" t="s">
        <v>149</v>
      </c>
      <c r="C78" t="s">
        <v>17</v>
      </c>
      <c r="D78" t="s">
        <v>45</v>
      </c>
      <c r="E78" t="s">
        <v>143</v>
      </c>
      <c r="F78" s="1" t="s">
        <v>150</v>
      </c>
      <c r="G78" s="1" t="s">
        <v>151</v>
      </c>
      <c r="H78" s="1" t="s">
        <v>273</v>
      </c>
      <c r="I78">
        <v>36</v>
      </c>
      <c r="J78">
        <v>0</v>
      </c>
      <c r="K78">
        <v>5</v>
      </c>
      <c r="L78" s="11">
        <v>-0.13888900000000001</v>
      </c>
      <c r="M78" t="s">
        <v>597</v>
      </c>
      <c r="N78" s="12">
        <v>0</v>
      </c>
      <c r="O78" s="12">
        <v>2</v>
      </c>
      <c r="P78" s="12">
        <v>2</v>
      </c>
      <c r="Q78" s="12">
        <v>0</v>
      </c>
      <c r="R78" s="12">
        <v>2</v>
      </c>
      <c r="S78" s="12">
        <v>3</v>
      </c>
      <c r="T78" s="1" t="s">
        <v>595</v>
      </c>
      <c r="U78" s="1" t="s">
        <v>596</v>
      </c>
      <c r="V78">
        <v>20260719</v>
      </c>
      <c r="W78">
        <v>46222.653275462966</v>
      </c>
    </row>
    <row r="79" spans="1:23" ht="45">
      <c r="A79" t="s">
        <v>272</v>
      </c>
      <c r="B79" t="s">
        <v>149</v>
      </c>
      <c r="C79" t="s">
        <v>17</v>
      </c>
      <c r="D79" t="s">
        <v>45</v>
      </c>
      <c r="E79" t="s">
        <v>143</v>
      </c>
      <c r="F79" s="1" t="s">
        <v>150</v>
      </c>
      <c r="G79" s="1" t="s">
        <v>151</v>
      </c>
      <c r="H79" s="1" t="s">
        <v>273</v>
      </c>
      <c r="I79">
        <v>36</v>
      </c>
      <c r="J79">
        <v>0</v>
      </c>
      <c r="K79">
        <v>5</v>
      </c>
      <c r="L79" s="11">
        <v>-0.13888900000000001</v>
      </c>
      <c r="M79" t="s">
        <v>598</v>
      </c>
      <c r="N79" s="12">
        <v>0</v>
      </c>
      <c r="O79" s="12">
        <v>2</v>
      </c>
      <c r="P79" s="12">
        <v>2</v>
      </c>
      <c r="Q79" s="12">
        <v>0</v>
      </c>
      <c r="R79" s="12">
        <v>2</v>
      </c>
      <c r="S79" s="12">
        <v>2</v>
      </c>
      <c r="T79" s="1" t="s">
        <v>595</v>
      </c>
      <c r="U79" s="1" t="s">
        <v>596</v>
      </c>
      <c r="V79">
        <v>20260719</v>
      </c>
      <c r="W79">
        <v>46222.653275462966</v>
      </c>
    </row>
    <row r="80" spans="1:23" ht="45">
      <c r="A80" t="s">
        <v>274</v>
      </c>
      <c r="B80" t="s">
        <v>154</v>
      </c>
      <c r="C80" t="s">
        <v>17</v>
      </c>
      <c r="D80" t="s">
        <v>45</v>
      </c>
      <c r="E80" t="s">
        <v>143</v>
      </c>
      <c r="F80" s="1" t="s">
        <v>155</v>
      </c>
      <c r="G80" s="1" t="s">
        <v>156</v>
      </c>
      <c r="H80" s="1" t="s">
        <v>275</v>
      </c>
      <c r="I80">
        <v>34</v>
      </c>
      <c r="J80">
        <v>0</v>
      </c>
      <c r="K80">
        <v>5</v>
      </c>
      <c r="L80" s="11">
        <v>-0.147059</v>
      </c>
      <c r="M80" t="s">
        <v>594</v>
      </c>
      <c r="N80" s="12">
        <v>0</v>
      </c>
      <c r="O80" s="12">
        <v>3</v>
      </c>
      <c r="P80" s="12">
        <v>3</v>
      </c>
      <c r="Q80" s="12">
        <v>0</v>
      </c>
      <c r="R80" s="12">
        <v>2</v>
      </c>
      <c r="S80" s="12">
        <v>3</v>
      </c>
      <c r="T80" s="1" t="s">
        <v>595</v>
      </c>
      <c r="U80" s="1" t="s">
        <v>596</v>
      </c>
      <c r="V80">
        <v>20260719</v>
      </c>
      <c r="W80">
        <v>46222.653275462966</v>
      </c>
    </row>
    <row r="81" spans="1:23" ht="45">
      <c r="A81" t="s">
        <v>274</v>
      </c>
      <c r="B81" t="s">
        <v>154</v>
      </c>
      <c r="C81" t="s">
        <v>17</v>
      </c>
      <c r="D81" t="s">
        <v>45</v>
      </c>
      <c r="E81" t="s">
        <v>143</v>
      </c>
      <c r="F81" s="1" t="s">
        <v>155</v>
      </c>
      <c r="G81" s="1" t="s">
        <v>156</v>
      </c>
      <c r="H81" s="1" t="s">
        <v>275</v>
      </c>
      <c r="I81">
        <v>34</v>
      </c>
      <c r="J81">
        <v>0</v>
      </c>
      <c r="K81">
        <v>5</v>
      </c>
      <c r="L81" s="11">
        <v>-0.147059</v>
      </c>
      <c r="M81" t="s">
        <v>597</v>
      </c>
      <c r="N81" s="12">
        <v>0</v>
      </c>
      <c r="O81" s="12">
        <v>3</v>
      </c>
      <c r="P81" s="12">
        <v>2</v>
      </c>
      <c r="Q81" s="12">
        <v>0</v>
      </c>
      <c r="R81" s="12">
        <v>2</v>
      </c>
      <c r="S81" s="12">
        <v>3</v>
      </c>
      <c r="T81" s="1" t="s">
        <v>595</v>
      </c>
      <c r="U81" s="1" t="s">
        <v>596</v>
      </c>
      <c r="V81">
        <v>20260719</v>
      </c>
      <c r="W81">
        <v>46222.653275462966</v>
      </c>
    </row>
    <row r="82" spans="1:23" ht="45">
      <c r="A82" t="s">
        <v>274</v>
      </c>
      <c r="B82" t="s">
        <v>154</v>
      </c>
      <c r="C82" t="s">
        <v>17</v>
      </c>
      <c r="D82" t="s">
        <v>45</v>
      </c>
      <c r="E82" t="s">
        <v>143</v>
      </c>
      <c r="F82" s="1" t="s">
        <v>155</v>
      </c>
      <c r="G82" s="1" t="s">
        <v>156</v>
      </c>
      <c r="H82" s="1" t="s">
        <v>275</v>
      </c>
      <c r="I82">
        <v>34</v>
      </c>
      <c r="J82">
        <v>0</v>
      </c>
      <c r="K82">
        <v>5</v>
      </c>
      <c r="L82" s="11">
        <v>-0.147059</v>
      </c>
      <c r="M82" t="s">
        <v>598</v>
      </c>
      <c r="N82" s="12">
        <v>0</v>
      </c>
      <c r="O82" s="12">
        <v>3</v>
      </c>
      <c r="P82" s="12">
        <v>3</v>
      </c>
      <c r="Q82" s="12">
        <v>0</v>
      </c>
      <c r="R82" s="12">
        <v>2</v>
      </c>
      <c r="S82" s="12">
        <v>3</v>
      </c>
      <c r="T82" s="1" t="s">
        <v>595</v>
      </c>
      <c r="U82" s="1" t="s">
        <v>596</v>
      </c>
      <c r="V82">
        <v>20260719</v>
      </c>
      <c r="W82">
        <v>46222.653275462966</v>
      </c>
    </row>
    <row r="83" spans="1:23" ht="45">
      <c r="A83" t="s">
        <v>276</v>
      </c>
      <c r="B83" t="s">
        <v>160</v>
      </c>
      <c r="C83" t="s">
        <v>17</v>
      </c>
      <c r="D83" t="s">
        <v>45</v>
      </c>
      <c r="E83" t="s">
        <v>143</v>
      </c>
      <c r="F83" s="1" t="s">
        <v>161</v>
      </c>
      <c r="G83" s="1" t="s">
        <v>162</v>
      </c>
      <c r="H83" s="1" t="s">
        <v>277</v>
      </c>
      <c r="I83">
        <v>35</v>
      </c>
      <c r="J83">
        <v>0</v>
      </c>
      <c r="K83">
        <v>5</v>
      </c>
      <c r="L83" s="11">
        <v>-0.14285700000000001</v>
      </c>
      <c r="M83" t="s">
        <v>594</v>
      </c>
      <c r="N83" s="12">
        <v>0</v>
      </c>
      <c r="O83" s="12">
        <v>2</v>
      </c>
      <c r="P83" s="12">
        <v>1</v>
      </c>
      <c r="Q83" s="12">
        <v>1</v>
      </c>
      <c r="R83" s="12">
        <v>1</v>
      </c>
      <c r="S83" s="12">
        <v>2</v>
      </c>
      <c r="T83" s="1" t="s">
        <v>595</v>
      </c>
      <c r="U83" s="1" t="s">
        <v>596</v>
      </c>
      <c r="V83">
        <v>20260719</v>
      </c>
      <c r="W83">
        <v>46222.653275462966</v>
      </c>
    </row>
    <row r="84" spans="1:23" ht="45">
      <c r="A84" t="s">
        <v>276</v>
      </c>
      <c r="B84" t="s">
        <v>160</v>
      </c>
      <c r="C84" t="s">
        <v>17</v>
      </c>
      <c r="D84" t="s">
        <v>45</v>
      </c>
      <c r="E84" t="s">
        <v>143</v>
      </c>
      <c r="F84" s="1" t="s">
        <v>161</v>
      </c>
      <c r="G84" s="1" t="s">
        <v>162</v>
      </c>
      <c r="H84" s="1" t="s">
        <v>277</v>
      </c>
      <c r="I84">
        <v>35</v>
      </c>
      <c r="J84">
        <v>0</v>
      </c>
      <c r="K84">
        <v>5</v>
      </c>
      <c r="L84" s="11">
        <v>-0.14285700000000001</v>
      </c>
      <c r="M84" t="s">
        <v>597</v>
      </c>
      <c r="N84" s="12">
        <v>1</v>
      </c>
      <c r="O84" s="12">
        <v>2</v>
      </c>
      <c r="P84" s="12">
        <v>1</v>
      </c>
      <c r="Q84" s="12">
        <v>1</v>
      </c>
      <c r="R84" s="12">
        <v>2</v>
      </c>
      <c r="S84" s="12">
        <v>2</v>
      </c>
      <c r="T84" s="1" t="s">
        <v>595</v>
      </c>
      <c r="U84" s="1" t="s">
        <v>596</v>
      </c>
      <c r="V84">
        <v>20260719</v>
      </c>
      <c r="W84">
        <v>46222.653275462966</v>
      </c>
    </row>
    <row r="85" spans="1:23" ht="45">
      <c r="A85" t="s">
        <v>276</v>
      </c>
      <c r="B85" t="s">
        <v>160</v>
      </c>
      <c r="C85" t="s">
        <v>17</v>
      </c>
      <c r="D85" t="s">
        <v>45</v>
      </c>
      <c r="E85" t="s">
        <v>143</v>
      </c>
      <c r="F85" s="1" t="s">
        <v>161</v>
      </c>
      <c r="G85" s="1" t="s">
        <v>162</v>
      </c>
      <c r="H85" s="1" t="s">
        <v>277</v>
      </c>
      <c r="I85">
        <v>35</v>
      </c>
      <c r="J85">
        <v>0</v>
      </c>
      <c r="K85">
        <v>5</v>
      </c>
      <c r="L85" s="11">
        <v>-0.14285700000000001</v>
      </c>
      <c r="M85" t="s">
        <v>598</v>
      </c>
      <c r="N85" s="12">
        <v>0</v>
      </c>
      <c r="O85" s="12">
        <v>2</v>
      </c>
      <c r="P85" s="12">
        <v>2</v>
      </c>
      <c r="Q85" s="12">
        <v>0</v>
      </c>
      <c r="R85" s="12">
        <v>2</v>
      </c>
      <c r="S85" s="12">
        <v>1</v>
      </c>
      <c r="T85" s="1" t="s">
        <v>595</v>
      </c>
      <c r="U85" s="1" t="s">
        <v>596</v>
      </c>
      <c r="V85">
        <v>20260719</v>
      </c>
      <c r="W85">
        <v>46222.653275462966</v>
      </c>
    </row>
    <row r="86" spans="1:23" ht="45">
      <c r="A86" t="s">
        <v>278</v>
      </c>
      <c r="B86" t="s">
        <v>165</v>
      </c>
      <c r="C86" t="s">
        <v>17</v>
      </c>
      <c r="D86" t="s">
        <v>45</v>
      </c>
      <c r="E86" t="s">
        <v>166</v>
      </c>
      <c r="F86" s="1" t="s">
        <v>167</v>
      </c>
      <c r="G86" s="1" t="s">
        <v>168</v>
      </c>
      <c r="H86" s="1" t="s">
        <v>279</v>
      </c>
      <c r="I86">
        <v>37</v>
      </c>
      <c r="J86">
        <v>0</v>
      </c>
      <c r="K86">
        <v>5</v>
      </c>
      <c r="L86" s="11">
        <v>-0.13513500000000001</v>
      </c>
      <c r="M86" t="s">
        <v>594</v>
      </c>
      <c r="N86" s="12">
        <v>0</v>
      </c>
      <c r="O86" s="12">
        <v>3</v>
      </c>
      <c r="P86" s="12">
        <v>3</v>
      </c>
      <c r="Q86" s="12">
        <v>0</v>
      </c>
      <c r="R86" s="12">
        <v>2</v>
      </c>
      <c r="S86" s="12">
        <v>2</v>
      </c>
      <c r="T86" s="1" t="s">
        <v>595</v>
      </c>
      <c r="U86" s="1" t="s">
        <v>596</v>
      </c>
      <c r="V86">
        <v>20260719</v>
      </c>
      <c r="W86">
        <v>46222.653275462966</v>
      </c>
    </row>
    <row r="87" spans="1:23" ht="45">
      <c r="A87" t="s">
        <v>278</v>
      </c>
      <c r="B87" t="s">
        <v>165</v>
      </c>
      <c r="C87" t="s">
        <v>17</v>
      </c>
      <c r="D87" t="s">
        <v>45</v>
      </c>
      <c r="E87" t="s">
        <v>166</v>
      </c>
      <c r="F87" s="1" t="s">
        <v>167</v>
      </c>
      <c r="G87" s="1" t="s">
        <v>168</v>
      </c>
      <c r="H87" s="1" t="s">
        <v>279</v>
      </c>
      <c r="I87">
        <v>37</v>
      </c>
      <c r="J87">
        <v>0</v>
      </c>
      <c r="K87">
        <v>5</v>
      </c>
      <c r="L87" s="11">
        <v>-0.13513500000000001</v>
      </c>
      <c r="M87" t="s">
        <v>597</v>
      </c>
      <c r="N87" s="12">
        <v>1</v>
      </c>
      <c r="O87" s="12">
        <v>3</v>
      </c>
      <c r="P87" s="12">
        <v>3</v>
      </c>
      <c r="Q87" s="12">
        <v>0</v>
      </c>
      <c r="R87" s="12">
        <v>2</v>
      </c>
      <c r="S87" s="12">
        <v>3</v>
      </c>
      <c r="T87" s="1" t="s">
        <v>595</v>
      </c>
      <c r="U87" s="1" t="s">
        <v>596</v>
      </c>
      <c r="V87">
        <v>20260719</v>
      </c>
      <c r="W87">
        <v>46222.653275462966</v>
      </c>
    </row>
    <row r="88" spans="1:23" ht="45">
      <c r="A88" t="s">
        <v>278</v>
      </c>
      <c r="B88" t="s">
        <v>165</v>
      </c>
      <c r="C88" t="s">
        <v>17</v>
      </c>
      <c r="D88" t="s">
        <v>45</v>
      </c>
      <c r="E88" t="s">
        <v>166</v>
      </c>
      <c r="F88" s="1" t="s">
        <v>167</v>
      </c>
      <c r="G88" s="1" t="s">
        <v>168</v>
      </c>
      <c r="H88" s="1" t="s">
        <v>279</v>
      </c>
      <c r="I88">
        <v>37</v>
      </c>
      <c r="J88">
        <v>0</v>
      </c>
      <c r="K88">
        <v>5</v>
      </c>
      <c r="L88" s="11">
        <v>-0.13513500000000001</v>
      </c>
      <c r="M88" t="s">
        <v>598</v>
      </c>
      <c r="N88" s="12">
        <v>1</v>
      </c>
      <c r="O88" s="12">
        <v>3</v>
      </c>
      <c r="P88" s="12">
        <v>3</v>
      </c>
      <c r="Q88" s="12">
        <v>0</v>
      </c>
      <c r="R88" s="12">
        <v>2</v>
      </c>
      <c r="S88" s="12">
        <v>2</v>
      </c>
      <c r="T88" s="1" t="s">
        <v>595</v>
      </c>
      <c r="U88" s="1" t="s">
        <v>596</v>
      </c>
      <c r="V88">
        <v>20260719</v>
      </c>
      <c r="W88">
        <v>46222.653275462966</v>
      </c>
    </row>
    <row r="89" spans="1:23" ht="45">
      <c r="A89" t="s">
        <v>280</v>
      </c>
      <c r="B89" t="s">
        <v>171</v>
      </c>
      <c r="C89" t="s">
        <v>17</v>
      </c>
      <c r="D89" t="s">
        <v>45</v>
      </c>
      <c r="E89" t="s">
        <v>166</v>
      </c>
      <c r="F89" s="1" t="s">
        <v>172</v>
      </c>
      <c r="G89" s="1" t="s">
        <v>173</v>
      </c>
      <c r="H89" s="1" t="s">
        <v>281</v>
      </c>
      <c r="I89">
        <v>36</v>
      </c>
      <c r="J89">
        <v>0</v>
      </c>
      <c r="K89">
        <v>5</v>
      </c>
      <c r="L89" s="11">
        <v>-0.13888900000000001</v>
      </c>
      <c r="M89" t="s">
        <v>594</v>
      </c>
      <c r="N89" s="12">
        <v>0</v>
      </c>
      <c r="O89" s="12">
        <v>3</v>
      </c>
      <c r="P89" s="12">
        <v>3</v>
      </c>
      <c r="Q89" s="12">
        <v>0</v>
      </c>
      <c r="R89" s="12">
        <v>3</v>
      </c>
      <c r="S89" s="12">
        <v>3</v>
      </c>
      <c r="T89" s="1" t="s">
        <v>595</v>
      </c>
      <c r="U89" s="1" t="s">
        <v>596</v>
      </c>
      <c r="V89">
        <v>20260719</v>
      </c>
      <c r="W89">
        <v>46222.653275462966</v>
      </c>
    </row>
    <row r="90" spans="1:23" ht="45">
      <c r="A90" t="s">
        <v>280</v>
      </c>
      <c r="B90" t="s">
        <v>171</v>
      </c>
      <c r="C90" t="s">
        <v>17</v>
      </c>
      <c r="D90" t="s">
        <v>45</v>
      </c>
      <c r="E90" t="s">
        <v>166</v>
      </c>
      <c r="F90" s="1" t="s">
        <v>172</v>
      </c>
      <c r="G90" s="1" t="s">
        <v>173</v>
      </c>
      <c r="H90" s="1" t="s">
        <v>281</v>
      </c>
      <c r="I90">
        <v>36</v>
      </c>
      <c r="J90">
        <v>0</v>
      </c>
      <c r="K90">
        <v>5</v>
      </c>
      <c r="L90" s="11">
        <v>-0.13888900000000001</v>
      </c>
      <c r="M90" t="s">
        <v>597</v>
      </c>
      <c r="N90" s="12">
        <v>0</v>
      </c>
      <c r="O90" s="12">
        <v>3</v>
      </c>
      <c r="P90" s="12">
        <v>3</v>
      </c>
      <c r="Q90" s="12">
        <v>0</v>
      </c>
      <c r="R90" s="12">
        <v>3</v>
      </c>
      <c r="S90" s="12">
        <v>3</v>
      </c>
      <c r="T90" s="1" t="s">
        <v>595</v>
      </c>
      <c r="U90" s="1" t="s">
        <v>596</v>
      </c>
      <c r="V90">
        <v>20260719</v>
      </c>
      <c r="W90">
        <v>46222.653275462966</v>
      </c>
    </row>
    <row r="91" spans="1:23" ht="45">
      <c r="A91" t="s">
        <v>280</v>
      </c>
      <c r="B91" t="s">
        <v>171</v>
      </c>
      <c r="C91" t="s">
        <v>17</v>
      </c>
      <c r="D91" t="s">
        <v>45</v>
      </c>
      <c r="E91" t="s">
        <v>166</v>
      </c>
      <c r="F91" s="1" t="s">
        <v>172</v>
      </c>
      <c r="G91" s="1" t="s">
        <v>173</v>
      </c>
      <c r="H91" s="1" t="s">
        <v>281</v>
      </c>
      <c r="I91">
        <v>36</v>
      </c>
      <c r="J91">
        <v>0</v>
      </c>
      <c r="K91">
        <v>5</v>
      </c>
      <c r="L91" s="11">
        <v>-0.13888900000000001</v>
      </c>
      <c r="M91" t="s">
        <v>598</v>
      </c>
      <c r="N91" s="12">
        <v>0</v>
      </c>
      <c r="O91" s="12">
        <v>3</v>
      </c>
      <c r="P91" s="12">
        <v>3</v>
      </c>
      <c r="Q91" s="12">
        <v>0</v>
      </c>
      <c r="R91" s="12">
        <v>3</v>
      </c>
      <c r="S91" s="12">
        <v>3</v>
      </c>
      <c r="T91" s="1" t="s">
        <v>595</v>
      </c>
      <c r="U91" s="1" t="s">
        <v>596</v>
      </c>
      <c r="V91">
        <v>20260719</v>
      </c>
      <c r="W91">
        <v>46222.653275462966</v>
      </c>
    </row>
    <row r="92" spans="1:23" ht="45">
      <c r="A92" t="s">
        <v>282</v>
      </c>
      <c r="B92" t="s">
        <v>176</v>
      </c>
      <c r="C92" t="s">
        <v>17</v>
      </c>
      <c r="D92" t="s">
        <v>45</v>
      </c>
      <c r="E92" t="s">
        <v>166</v>
      </c>
      <c r="F92" s="1" t="s">
        <v>177</v>
      </c>
      <c r="G92" s="1" t="s">
        <v>178</v>
      </c>
      <c r="H92" s="1" t="s">
        <v>283</v>
      </c>
      <c r="I92">
        <v>35</v>
      </c>
      <c r="J92">
        <v>0</v>
      </c>
      <c r="K92">
        <v>4</v>
      </c>
      <c r="L92" s="11">
        <v>-0.114286</v>
      </c>
      <c r="M92" t="s">
        <v>594</v>
      </c>
      <c r="N92" s="12">
        <v>0</v>
      </c>
      <c r="O92" s="12">
        <v>3</v>
      </c>
      <c r="P92" s="12">
        <v>3</v>
      </c>
      <c r="Q92" s="12">
        <v>0</v>
      </c>
      <c r="R92" s="12">
        <v>1</v>
      </c>
      <c r="S92" s="12">
        <v>2</v>
      </c>
      <c r="T92" s="1" t="s">
        <v>595</v>
      </c>
      <c r="U92" s="1" t="s">
        <v>596</v>
      </c>
      <c r="V92">
        <v>20260719</v>
      </c>
      <c r="W92">
        <v>46222.653275462966</v>
      </c>
    </row>
    <row r="93" spans="1:23" ht="45">
      <c r="A93" t="s">
        <v>282</v>
      </c>
      <c r="B93" t="s">
        <v>176</v>
      </c>
      <c r="C93" t="s">
        <v>17</v>
      </c>
      <c r="D93" t="s">
        <v>45</v>
      </c>
      <c r="E93" t="s">
        <v>166</v>
      </c>
      <c r="F93" s="1" t="s">
        <v>177</v>
      </c>
      <c r="G93" s="1" t="s">
        <v>178</v>
      </c>
      <c r="H93" s="1" t="s">
        <v>283</v>
      </c>
      <c r="I93">
        <v>35</v>
      </c>
      <c r="J93">
        <v>0</v>
      </c>
      <c r="K93">
        <v>4</v>
      </c>
      <c r="L93" s="11">
        <v>-0.114286</v>
      </c>
      <c r="M93" t="s">
        <v>597</v>
      </c>
      <c r="N93" s="12">
        <v>0</v>
      </c>
      <c r="O93" s="12">
        <v>3</v>
      </c>
      <c r="P93" s="12">
        <v>3</v>
      </c>
      <c r="Q93" s="12">
        <v>0</v>
      </c>
      <c r="R93" s="12">
        <v>2</v>
      </c>
      <c r="S93" s="12">
        <v>2</v>
      </c>
      <c r="T93" s="1" t="s">
        <v>595</v>
      </c>
      <c r="U93" s="1" t="s">
        <v>596</v>
      </c>
      <c r="V93">
        <v>20260719</v>
      </c>
      <c r="W93">
        <v>46222.653275462966</v>
      </c>
    </row>
    <row r="94" spans="1:23" ht="45">
      <c r="A94" t="s">
        <v>282</v>
      </c>
      <c r="B94" t="s">
        <v>176</v>
      </c>
      <c r="C94" t="s">
        <v>17</v>
      </c>
      <c r="D94" t="s">
        <v>45</v>
      </c>
      <c r="E94" t="s">
        <v>166</v>
      </c>
      <c r="F94" s="1" t="s">
        <v>177</v>
      </c>
      <c r="G94" s="1" t="s">
        <v>178</v>
      </c>
      <c r="H94" s="1" t="s">
        <v>283</v>
      </c>
      <c r="I94">
        <v>35</v>
      </c>
      <c r="J94">
        <v>0</v>
      </c>
      <c r="K94">
        <v>4</v>
      </c>
      <c r="L94" s="11">
        <v>-0.114286</v>
      </c>
      <c r="M94" t="s">
        <v>598</v>
      </c>
      <c r="N94" s="12">
        <v>0</v>
      </c>
      <c r="O94" s="12">
        <v>3</v>
      </c>
      <c r="P94" s="12">
        <v>3</v>
      </c>
      <c r="Q94" s="12">
        <v>0</v>
      </c>
      <c r="R94" s="12">
        <v>2</v>
      </c>
      <c r="S94" s="12">
        <v>3</v>
      </c>
      <c r="T94" s="1" t="s">
        <v>595</v>
      </c>
      <c r="U94" s="1" t="s">
        <v>596</v>
      </c>
      <c r="V94">
        <v>20260719</v>
      </c>
      <c r="W94">
        <v>46222.653275462966</v>
      </c>
    </row>
    <row r="95" spans="1:23" ht="45">
      <c r="A95" t="s">
        <v>284</v>
      </c>
      <c r="B95" t="s">
        <v>181</v>
      </c>
      <c r="C95" t="s">
        <v>17</v>
      </c>
      <c r="D95" t="s">
        <v>45</v>
      </c>
      <c r="E95" t="s">
        <v>166</v>
      </c>
      <c r="F95" s="1" t="s">
        <v>182</v>
      </c>
      <c r="G95" s="1" t="s">
        <v>183</v>
      </c>
      <c r="H95" s="1" t="s">
        <v>285</v>
      </c>
      <c r="I95">
        <v>33</v>
      </c>
      <c r="J95">
        <v>0</v>
      </c>
      <c r="K95">
        <v>5</v>
      </c>
      <c r="L95" s="11">
        <v>-0.15151500000000001</v>
      </c>
      <c r="M95" t="s">
        <v>594</v>
      </c>
      <c r="N95" s="12">
        <v>0</v>
      </c>
      <c r="O95" s="12">
        <v>3</v>
      </c>
      <c r="P95" s="12">
        <v>3</v>
      </c>
      <c r="Q95" s="12">
        <v>0</v>
      </c>
      <c r="R95" s="12">
        <v>2</v>
      </c>
      <c r="S95" s="12">
        <v>3</v>
      </c>
      <c r="T95" s="1" t="s">
        <v>595</v>
      </c>
      <c r="U95" s="1" t="s">
        <v>596</v>
      </c>
      <c r="V95">
        <v>20260719</v>
      </c>
      <c r="W95">
        <v>46222.653275462966</v>
      </c>
    </row>
    <row r="96" spans="1:23" ht="45">
      <c r="A96" t="s">
        <v>284</v>
      </c>
      <c r="B96" t="s">
        <v>181</v>
      </c>
      <c r="C96" t="s">
        <v>17</v>
      </c>
      <c r="D96" t="s">
        <v>45</v>
      </c>
      <c r="E96" t="s">
        <v>166</v>
      </c>
      <c r="F96" s="1" t="s">
        <v>182</v>
      </c>
      <c r="G96" s="1" t="s">
        <v>183</v>
      </c>
      <c r="H96" s="1" t="s">
        <v>285</v>
      </c>
      <c r="I96">
        <v>33</v>
      </c>
      <c r="J96">
        <v>0</v>
      </c>
      <c r="K96">
        <v>5</v>
      </c>
      <c r="L96" s="11">
        <v>-0.15151500000000001</v>
      </c>
      <c r="M96" t="s">
        <v>597</v>
      </c>
      <c r="N96" s="12">
        <v>0</v>
      </c>
      <c r="O96" s="12">
        <v>3</v>
      </c>
      <c r="P96" s="12">
        <v>3</v>
      </c>
      <c r="Q96" s="12">
        <v>0</v>
      </c>
      <c r="R96" s="12">
        <v>2</v>
      </c>
      <c r="S96" s="12">
        <v>3</v>
      </c>
      <c r="T96" s="1" t="s">
        <v>595</v>
      </c>
      <c r="U96" s="1" t="s">
        <v>596</v>
      </c>
      <c r="V96">
        <v>20260719</v>
      </c>
      <c r="W96">
        <v>46222.653275462966</v>
      </c>
    </row>
    <row r="97" spans="1:23" ht="45">
      <c r="A97" t="s">
        <v>284</v>
      </c>
      <c r="B97" t="s">
        <v>181</v>
      </c>
      <c r="C97" t="s">
        <v>17</v>
      </c>
      <c r="D97" t="s">
        <v>45</v>
      </c>
      <c r="E97" t="s">
        <v>166</v>
      </c>
      <c r="F97" s="1" t="s">
        <v>182</v>
      </c>
      <c r="G97" s="1" t="s">
        <v>183</v>
      </c>
      <c r="H97" s="1" t="s">
        <v>285</v>
      </c>
      <c r="I97">
        <v>33</v>
      </c>
      <c r="J97">
        <v>0</v>
      </c>
      <c r="K97">
        <v>5</v>
      </c>
      <c r="L97" s="11">
        <v>-0.15151500000000001</v>
      </c>
      <c r="M97" t="s">
        <v>598</v>
      </c>
      <c r="N97" s="12">
        <v>1</v>
      </c>
      <c r="O97" s="12">
        <v>3</v>
      </c>
      <c r="P97" s="12">
        <v>3</v>
      </c>
      <c r="Q97" s="12">
        <v>0</v>
      </c>
      <c r="R97" s="12">
        <v>2</v>
      </c>
      <c r="S97" s="12">
        <v>3</v>
      </c>
      <c r="T97" s="1" t="s">
        <v>595</v>
      </c>
      <c r="U97" s="1" t="s">
        <v>596</v>
      </c>
      <c r="V97">
        <v>20260719</v>
      </c>
      <c r="W97">
        <v>46222.653275462966</v>
      </c>
    </row>
    <row r="98" spans="1:23" ht="45">
      <c r="A98" t="s">
        <v>286</v>
      </c>
      <c r="B98" t="s">
        <v>186</v>
      </c>
      <c r="C98" t="s">
        <v>17</v>
      </c>
      <c r="D98" t="s">
        <v>45</v>
      </c>
      <c r="E98" t="s">
        <v>187</v>
      </c>
      <c r="F98" s="1" t="s">
        <v>188</v>
      </c>
      <c r="G98" s="1" t="s">
        <v>189</v>
      </c>
      <c r="H98" s="1" t="s">
        <v>287</v>
      </c>
      <c r="I98">
        <v>39</v>
      </c>
      <c r="J98">
        <v>0</v>
      </c>
      <c r="K98">
        <v>5</v>
      </c>
      <c r="L98" s="11">
        <v>-0.12820500000000001</v>
      </c>
      <c r="M98" t="s">
        <v>594</v>
      </c>
      <c r="N98" s="12">
        <v>0</v>
      </c>
      <c r="O98" s="12">
        <v>2</v>
      </c>
      <c r="P98" s="12">
        <v>3</v>
      </c>
      <c r="Q98" s="12">
        <v>0</v>
      </c>
      <c r="R98" s="12">
        <v>2</v>
      </c>
      <c r="S98" s="12">
        <v>2</v>
      </c>
      <c r="T98" s="1" t="s">
        <v>595</v>
      </c>
      <c r="U98" s="1" t="s">
        <v>596</v>
      </c>
      <c r="V98">
        <v>20260719</v>
      </c>
      <c r="W98">
        <v>46222.653275462966</v>
      </c>
    </row>
    <row r="99" spans="1:23" ht="45">
      <c r="A99" t="s">
        <v>286</v>
      </c>
      <c r="B99" t="s">
        <v>186</v>
      </c>
      <c r="C99" t="s">
        <v>17</v>
      </c>
      <c r="D99" t="s">
        <v>45</v>
      </c>
      <c r="E99" t="s">
        <v>187</v>
      </c>
      <c r="F99" s="1" t="s">
        <v>188</v>
      </c>
      <c r="G99" s="1" t="s">
        <v>189</v>
      </c>
      <c r="H99" s="1" t="s">
        <v>287</v>
      </c>
      <c r="I99">
        <v>39</v>
      </c>
      <c r="J99">
        <v>0</v>
      </c>
      <c r="K99">
        <v>5</v>
      </c>
      <c r="L99" s="11">
        <v>-0.12820500000000001</v>
      </c>
      <c r="M99" t="s">
        <v>597</v>
      </c>
      <c r="N99" s="12">
        <v>0</v>
      </c>
      <c r="O99" s="12">
        <v>1</v>
      </c>
      <c r="P99" s="12">
        <v>3</v>
      </c>
      <c r="Q99" s="12">
        <v>0</v>
      </c>
      <c r="R99" s="12">
        <v>2</v>
      </c>
      <c r="S99" s="12">
        <v>2</v>
      </c>
      <c r="T99" s="1" t="s">
        <v>595</v>
      </c>
      <c r="U99" s="1" t="s">
        <v>596</v>
      </c>
      <c r="V99">
        <v>20260719</v>
      </c>
      <c r="W99">
        <v>46222.653275462966</v>
      </c>
    </row>
    <row r="100" spans="1:23" ht="45">
      <c r="A100" t="s">
        <v>286</v>
      </c>
      <c r="B100" t="s">
        <v>186</v>
      </c>
      <c r="C100" t="s">
        <v>17</v>
      </c>
      <c r="D100" t="s">
        <v>45</v>
      </c>
      <c r="E100" t="s">
        <v>187</v>
      </c>
      <c r="F100" s="1" t="s">
        <v>188</v>
      </c>
      <c r="G100" s="1" t="s">
        <v>189</v>
      </c>
      <c r="H100" s="1" t="s">
        <v>287</v>
      </c>
      <c r="I100">
        <v>39</v>
      </c>
      <c r="J100">
        <v>0</v>
      </c>
      <c r="K100">
        <v>5</v>
      </c>
      <c r="L100" s="11">
        <v>-0.12820500000000001</v>
      </c>
      <c r="M100" t="s">
        <v>598</v>
      </c>
      <c r="N100" s="12">
        <v>0</v>
      </c>
      <c r="O100" s="12">
        <v>2</v>
      </c>
      <c r="P100" s="12">
        <v>3</v>
      </c>
      <c r="Q100" s="12">
        <v>0</v>
      </c>
      <c r="R100" s="12">
        <v>2</v>
      </c>
      <c r="S100" s="12">
        <v>2</v>
      </c>
      <c r="T100" s="1" t="s">
        <v>595</v>
      </c>
      <c r="U100" s="1" t="s">
        <v>596</v>
      </c>
      <c r="V100">
        <v>20260719</v>
      </c>
      <c r="W100">
        <v>46222.653275462966</v>
      </c>
    </row>
    <row r="101" spans="1:23" ht="30">
      <c r="A101" t="s">
        <v>288</v>
      </c>
      <c r="B101" t="s">
        <v>192</v>
      </c>
      <c r="C101" t="s">
        <v>17</v>
      </c>
      <c r="D101" t="s">
        <v>45</v>
      </c>
      <c r="E101" t="s">
        <v>187</v>
      </c>
      <c r="F101" s="1" t="s">
        <v>193</v>
      </c>
      <c r="G101" s="1" t="s">
        <v>194</v>
      </c>
      <c r="H101" s="1" t="s">
        <v>289</v>
      </c>
      <c r="I101">
        <v>31</v>
      </c>
      <c r="J101">
        <v>0</v>
      </c>
      <c r="K101">
        <v>5</v>
      </c>
      <c r="L101" s="11">
        <v>-0.16128999999999999</v>
      </c>
      <c r="M101" t="s">
        <v>594</v>
      </c>
      <c r="N101" s="12">
        <v>0</v>
      </c>
      <c r="O101" s="12">
        <v>2</v>
      </c>
      <c r="P101" s="12">
        <v>3</v>
      </c>
      <c r="Q101" s="12">
        <v>0</v>
      </c>
      <c r="R101" s="12">
        <v>2</v>
      </c>
      <c r="S101" s="12">
        <v>2</v>
      </c>
      <c r="T101" s="1" t="s">
        <v>595</v>
      </c>
      <c r="U101" s="1" t="s">
        <v>596</v>
      </c>
      <c r="V101">
        <v>20260719</v>
      </c>
      <c r="W101">
        <v>46222.653275462966</v>
      </c>
    </row>
    <row r="102" spans="1:23" ht="30">
      <c r="A102" t="s">
        <v>288</v>
      </c>
      <c r="B102" t="s">
        <v>192</v>
      </c>
      <c r="C102" t="s">
        <v>17</v>
      </c>
      <c r="D102" t="s">
        <v>45</v>
      </c>
      <c r="E102" t="s">
        <v>187</v>
      </c>
      <c r="F102" s="1" t="s">
        <v>193</v>
      </c>
      <c r="G102" s="1" t="s">
        <v>194</v>
      </c>
      <c r="H102" s="1" t="s">
        <v>289</v>
      </c>
      <c r="I102">
        <v>31</v>
      </c>
      <c r="J102">
        <v>0</v>
      </c>
      <c r="K102">
        <v>5</v>
      </c>
      <c r="L102" s="11">
        <v>-0.16128999999999999</v>
      </c>
      <c r="M102" t="s">
        <v>597</v>
      </c>
      <c r="N102" s="12">
        <v>1</v>
      </c>
      <c r="O102" s="12">
        <v>2</v>
      </c>
      <c r="P102" s="12">
        <v>3</v>
      </c>
      <c r="Q102" s="12">
        <v>0</v>
      </c>
      <c r="R102" s="12">
        <v>2</v>
      </c>
      <c r="S102" s="12">
        <v>2</v>
      </c>
      <c r="T102" s="1" t="s">
        <v>595</v>
      </c>
      <c r="U102" s="1" t="s">
        <v>596</v>
      </c>
      <c r="V102">
        <v>20260719</v>
      </c>
      <c r="W102">
        <v>46222.653275462966</v>
      </c>
    </row>
    <row r="103" spans="1:23" ht="30">
      <c r="A103" t="s">
        <v>288</v>
      </c>
      <c r="B103" t="s">
        <v>192</v>
      </c>
      <c r="C103" t="s">
        <v>17</v>
      </c>
      <c r="D103" t="s">
        <v>45</v>
      </c>
      <c r="E103" t="s">
        <v>187</v>
      </c>
      <c r="F103" s="1" t="s">
        <v>193</v>
      </c>
      <c r="G103" s="1" t="s">
        <v>194</v>
      </c>
      <c r="H103" s="1" t="s">
        <v>289</v>
      </c>
      <c r="I103">
        <v>31</v>
      </c>
      <c r="J103">
        <v>0</v>
      </c>
      <c r="K103">
        <v>5</v>
      </c>
      <c r="L103" s="11">
        <v>-0.16128999999999999</v>
      </c>
      <c r="M103" t="s">
        <v>598</v>
      </c>
      <c r="N103" s="12">
        <v>1</v>
      </c>
      <c r="O103" s="12">
        <v>2</v>
      </c>
      <c r="P103" s="12">
        <v>3</v>
      </c>
      <c r="Q103" s="12">
        <v>0</v>
      </c>
      <c r="R103" s="12">
        <v>1</v>
      </c>
      <c r="S103" s="12">
        <v>2</v>
      </c>
      <c r="T103" s="1" t="s">
        <v>595</v>
      </c>
      <c r="U103" s="1" t="s">
        <v>596</v>
      </c>
      <c r="V103">
        <v>20260719</v>
      </c>
      <c r="W103">
        <v>46222.653275462966</v>
      </c>
    </row>
    <row r="104" spans="1:23" ht="45">
      <c r="A104" t="s">
        <v>290</v>
      </c>
      <c r="B104" t="s">
        <v>197</v>
      </c>
      <c r="C104" t="s">
        <v>17</v>
      </c>
      <c r="D104" t="s">
        <v>45</v>
      </c>
      <c r="E104" t="s">
        <v>187</v>
      </c>
      <c r="F104" s="1" t="s">
        <v>198</v>
      </c>
      <c r="G104" s="1" t="s">
        <v>199</v>
      </c>
      <c r="H104" s="1" t="s">
        <v>291</v>
      </c>
      <c r="I104">
        <v>38</v>
      </c>
      <c r="J104">
        <v>0</v>
      </c>
      <c r="K104">
        <v>5</v>
      </c>
      <c r="L104" s="11">
        <v>-0.131579</v>
      </c>
      <c r="M104" t="s">
        <v>594</v>
      </c>
      <c r="N104" s="12">
        <v>0</v>
      </c>
      <c r="O104" s="12">
        <v>2</v>
      </c>
      <c r="P104" s="12">
        <v>3</v>
      </c>
      <c r="Q104" s="12">
        <v>0</v>
      </c>
      <c r="R104" s="12">
        <v>2</v>
      </c>
      <c r="S104" s="12">
        <v>2</v>
      </c>
      <c r="T104" s="1" t="s">
        <v>595</v>
      </c>
      <c r="U104" s="1" t="s">
        <v>596</v>
      </c>
      <c r="V104">
        <v>20260719</v>
      </c>
      <c r="W104">
        <v>46222.653275462966</v>
      </c>
    </row>
    <row r="105" spans="1:23" ht="45">
      <c r="A105" t="s">
        <v>290</v>
      </c>
      <c r="B105" t="s">
        <v>197</v>
      </c>
      <c r="C105" t="s">
        <v>17</v>
      </c>
      <c r="D105" t="s">
        <v>45</v>
      </c>
      <c r="E105" t="s">
        <v>187</v>
      </c>
      <c r="F105" s="1" t="s">
        <v>198</v>
      </c>
      <c r="G105" s="1" t="s">
        <v>199</v>
      </c>
      <c r="H105" s="1" t="s">
        <v>291</v>
      </c>
      <c r="I105">
        <v>38</v>
      </c>
      <c r="J105">
        <v>0</v>
      </c>
      <c r="K105">
        <v>5</v>
      </c>
      <c r="L105" s="11">
        <v>-0.131579</v>
      </c>
      <c r="M105" t="s">
        <v>597</v>
      </c>
      <c r="N105" s="12">
        <v>0</v>
      </c>
      <c r="O105" s="12">
        <v>3</v>
      </c>
      <c r="P105" s="12">
        <v>2</v>
      </c>
      <c r="Q105" s="12">
        <v>0</v>
      </c>
      <c r="R105" s="12">
        <v>2</v>
      </c>
      <c r="S105" s="12">
        <v>3</v>
      </c>
      <c r="T105" s="1" t="s">
        <v>595</v>
      </c>
      <c r="U105" s="1" t="s">
        <v>596</v>
      </c>
      <c r="V105">
        <v>20260719</v>
      </c>
      <c r="W105">
        <v>46222.653275462966</v>
      </c>
    </row>
    <row r="106" spans="1:23" ht="45">
      <c r="A106" t="s">
        <v>290</v>
      </c>
      <c r="B106" t="s">
        <v>197</v>
      </c>
      <c r="C106" t="s">
        <v>17</v>
      </c>
      <c r="D106" t="s">
        <v>45</v>
      </c>
      <c r="E106" t="s">
        <v>187</v>
      </c>
      <c r="F106" s="1" t="s">
        <v>198</v>
      </c>
      <c r="G106" s="1" t="s">
        <v>199</v>
      </c>
      <c r="H106" s="1" t="s">
        <v>291</v>
      </c>
      <c r="I106">
        <v>38</v>
      </c>
      <c r="J106">
        <v>0</v>
      </c>
      <c r="K106">
        <v>5</v>
      </c>
      <c r="L106" s="11">
        <v>-0.131579</v>
      </c>
      <c r="M106" t="s">
        <v>598</v>
      </c>
      <c r="N106" s="12">
        <v>0</v>
      </c>
      <c r="O106" s="12">
        <v>2</v>
      </c>
      <c r="P106" s="12">
        <v>2</v>
      </c>
      <c r="Q106" s="12">
        <v>0</v>
      </c>
      <c r="R106" s="12">
        <v>2</v>
      </c>
      <c r="S106" s="12">
        <v>3</v>
      </c>
      <c r="T106" s="1" t="s">
        <v>595</v>
      </c>
      <c r="U106" s="1" t="s">
        <v>596</v>
      </c>
      <c r="V106">
        <v>20260719</v>
      </c>
      <c r="W106">
        <v>46222.653275462966</v>
      </c>
    </row>
    <row r="107" spans="1:23" ht="45">
      <c r="A107" t="s">
        <v>292</v>
      </c>
      <c r="B107" t="s">
        <v>202</v>
      </c>
      <c r="C107" t="s">
        <v>17</v>
      </c>
      <c r="D107" t="s">
        <v>45</v>
      </c>
      <c r="E107" t="s">
        <v>187</v>
      </c>
      <c r="F107" s="1" t="s">
        <v>203</v>
      </c>
      <c r="G107" s="1" t="s">
        <v>204</v>
      </c>
      <c r="H107" s="1" t="s">
        <v>293</v>
      </c>
      <c r="I107">
        <v>36</v>
      </c>
      <c r="J107">
        <v>0</v>
      </c>
      <c r="K107">
        <v>5</v>
      </c>
      <c r="L107" s="11">
        <v>-0.13888900000000001</v>
      </c>
      <c r="M107" t="s">
        <v>594</v>
      </c>
      <c r="N107" s="12">
        <v>0</v>
      </c>
      <c r="O107" s="12">
        <v>3</v>
      </c>
      <c r="P107" s="12">
        <v>3</v>
      </c>
      <c r="Q107" s="12">
        <v>1</v>
      </c>
      <c r="R107" s="12">
        <v>3</v>
      </c>
      <c r="S107" s="12">
        <v>3</v>
      </c>
      <c r="T107" s="1" t="s">
        <v>595</v>
      </c>
      <c r="U107" s="1" t="s">
        <v>596</v>
      </c>
      <c r="V107">
        <v>20260719</v>
      </c>
      <c r="W107">
        <v>46222.653275462966</v>
      </c>
    </row>
    <row r="108" spans="1:23" ht="45">
      <c r="A108" t="s">
        <v>292</v>
      </c>
      <c r="B108" t="s">
        <v>202</v>
      </c>
      <c r="C108" t="s">
        <v>17</v>
      </c>
      <c r="D108" t="s">
        <v>45</v>
      </c>
      <c r="E108" t="s">
        <v>187</v>
      </c>
      <c r="F108" s="1" t="s">
        <v>203</v>
      </c>
      <c r="G108" s="1" t="s">
        <v>204</v>
      </c>
      <c r="H108" s="1" t="s">
        <v>293</v>
      </c>
      <c r="I108">
        <v>36</v>
      </c>
      <c r="J108">
        <v>0</v>
      </c>
      <c r="K108">
        <v>5</v>
      </c>
      <c r="L108" s="11">
        <v>-0.13888900000000001</v>
      </c>
      <c r="M108" t="s">
        <v>597</v>
      </c>
      <c r="N108" s="12">
        <v>1</v>
      </c>
      <c r="O108" s="12">
        <v>3</v>
      </c>
      <c r="P108" s="12">
        <v>2</v>
      </c>
      <c r="Q108" s="12">
        <v>1</v>
      </c>
      <c r="R108" s="12">
        <v>2</v>
      </c>
      <c r="S108" s="12">
        <v>3</v>
      </c>
      <c r="T108" s="1" t="s">
        <v>595</v>
      </c>
      <c r="U108" s="1" t="s">
        <v>596</v>
      </c>
      <c r="V108">
        <v>20260719</v>
      </c>
      <c r="W108">
        <v>46222.653275462966</v>
      </c>
    </row>
    <row r="109" spans="1:23" ht="45">
      <c r="A109" t="s">
        <v>292</v>
      </c>
      <c r="B109" t="s">
        <v>202</v>
      </c>
      <c r="C109" t="s">
        <v>17</v>
      </c>
      <c r="D109" t="s">
        <v>45</v>
      </c>
      <c r="E109" t="s">
        <v>187</v>
      </c>
      <c r="F109" s="1" t="s">
        <v>203</v>
      </c>
      <c r="G109" s="1" t="s">
        <v>204</v>
      </c>
      <c r="H109" s="1" t="s">
        <v>293</v>
      </c>
      <c r="I109">
        <v>36</v>
      </c>
      <c r="J109">
        <v>0</v>
      </c>
      <c r="K109">
        <v>5</v>
      </c>
      <c r="L109" s="11">
        <v>-0.13888900000000001</v>
      </c>
      <c r="M109" t="s">
        <v>598</v>
      </c>
      <c r="N109" s="12">
        <v>1</v>
      </c>
      <c r="O109" s="12">
        <v>3</v>
      </c>
      <c r="P109" s="12">
        <v>3</v>
      </c>
      <c r="Q109" s="12">
        <v>1</v>
      </c>
      <c r="R109" s="12">
        <v>2</v>
      </c>
      <c r="S109" s="12">
        <v>3</v>
      </c>
      <c r="T109" s="1" t="s">
        <v>595</v>
      </c>
      <c r="U109" s="1" t="s">
        <v>596</v>
      </c>
      <c r="V109">
        <v>20260719</v>
      </c>
      <c r="W109">
        <v>46222.653275462966</v>
      </c>
    </row>
    <row r="110" spans="1:23" ht="45">
      <c r="A110" t="s">
        <v>294</v>
      </c>
      <c r="B110" t="s">
        <v>207</v>
      </c>
      <c r="C110" t="s">
        <v>17</v>
      </c>
      <c r="D110" t="s">
        <v>45</v>
      </c>
      <c r="E110" t="s">
        <v>208</v>
      </c>
      <c r="F110" s="1" t="s">
        <v>209</v>
      </c>
      <c r="G110" s="1" t="s">
        <v>210</v>
      </c>
      <c r="H110" s="1" t="s">
        <v>295</v>
      </c>
      <c r="I110">
        <v>37</v>
      </c>
      <c r="J110">
        <v>0</v>
      </c>
      <c r="K110">
        <v>5</v>
      </c>
      <c r="L110" s="11">
        <v>-0.13513500000000001</v>
      </c>
      <c r="M110" t="s">
        <v>594</v>
      </c>
      <c r="N110" s="12">
        <v>0</v>
      </c>
      <c r="O110" s="12">
        <v>1</v>
      </c>
      <c r="P110" s="12">
        <v>3</v>
      </c>
      <c r="Q110" s="12">
        <v>0</v>
      </c>
      <c r="R110" s="12">
        <v>1</v>
      </c>
      <c r="S110" s="12">
        <v>2</v>
      </c>
      <c r="T110" s="1" t="s">
        <v>595</v>
      </c>
      <c r="U110" s="1" t="s">
        <v>596</v>
      </c>
      <c r="V110">
        <v>20260719</v>
      </c>
      <c r="W110">
        <v>46222.653275462966</v>
      </c>
    </row>
    <row r="111" spans="1:23" ht="45">
      <c r="A111" t="s">
        <v>294</v>
      </c>
      <c r="B111" t="s">
        <v>207</v>
      </c>
      <c r="C111" t="s">
        <v>17</v>
      </c>
      <c r="D111" t="s">
        <v>45</v>
      </c>
      <c r="E111" t="s">
        <v>208</v>
      </c>
      <c r="F111" s="1" t="s">
        <v>209</v>
      </c>
      <c r="G111" s="1" t="s">
        <v>210</v>
      </c>
      <c r="H111" s="1" t="s">
        <v>295</v>
      </c>
      <c r="I111">
        <v>37</v>
      </c>
      <c r="J111">
        <v>0</v>
      </c>
      <c r="K111">
        <v>5</v>
      </c>
      <c r="L111" s="11">
        <v>-0.13513500000000001</v>
      </c>
      <c r="M111" t="s">
        <v>597</v>
      </c>
      <c r="N111" s="12">
        <v>0</v>
      </c>
      <c r="O111" s="12">
        <v>1</v>
      </c>
      <c r="P111" s="12">
        <v>2</v>
      </c>
      <c r="Q111" s="12">
        <v>0</v>
      </c>
      <c r="R111" s="12">
        <v>2</v>
      </c>
      <c r="S111" s="12">
        <v>1</v>
      </c>
      <c r="T111" s="1" t="s">
        <v>595</v>
      </c>
      <c r="U111" s="1" t="s">
        <v>596</v>
      </c>
      <c r="V111">
        <v>20260719</v>
      </c>
      <c r="W111">
        <v>46222.653275462966</v>
      </c>
    </row>
    <row r="112" spans="1:23" ht="45">
      <c r="A112" t="s">
        <v>294</v>
      </c>
      <c r="B112" t="s">
        <v>207</v>
      </c>
      <c r="C112" t="s">
        <v>17</v>
      </c>
      <c r="D112" t="s">
        <v>45</v>
      </c>
      <c r="E112" t="s">
        <v>208</v>
      </c>
      <c r="F112" s="1" t="s">
        <v>209</v>
      </c>
      <c r="G112" s="1" t="s">
        <v>210</v>
      </c>
      <c r="H112" s="1" t="s">
        <v>295</v>
      </c>
      <c r="I112">
        <v>37</v>
      </c>
      <c r="J112">
        <v>0</v>
      </c>
      <c r="K112">
        <v>5</v>
      </c>
      <c r="L112" s="11">
        <v>-0.13513500000000001</v>
      </c>
      <c r="M112" t="s">
        <v>598</v>
      </c>
      <c r="N112" s="12">
        <v>0</v>
      </c>
      <c r="O112" s="12">
        <v>2</v>
      </c>
      <c r="P112" s="12">
        <v>3</v>
      </c>
      <c r="Q112" s="12">
        <v>0</v>
      </c>
      <c r="R112" s="12">
        <v>2</v>
      </c>
      <c r="S112" s="12">
        <v>2</v>
      </c>
      <c r="T112" s="1" t="s">
        <v>595</v>
      </c>
      <c r="U112" s="1" t="s">
        <v>596</v>
      </c>
      <c r="V112">
        <v>20260719</v>
      </c>
      <c r="W112">
        <v>46222.653275462966</v>
      </c>
    </row>
    <row r="113" spans="1:23" ht="45">
      <c r="A113" t="s">
        <v>296</v>
      </c>
      <c r="B113" t="s">
        <v>213</v>
      </c>
      <c r="C113" t="s">
        <v>17</v>
      </c>
      <c r="D113" t="s">
        <v>45</v>
      </c>
      <c r="E113" t="s">
        <v>208</v>
      </c>
      <c r="F113" s="1" t="s">
        <v>214</v>
      </c>
      <c r="G113" s="1" t="s">
        <v>215</v>
      </c>
      <c r="H113" s="1" t="s">
        <v>297</v>
      </c>
      <c r="I113">
        <v>34</v>
      </c>
      <c r="J113">
        <v>0</v>
      </c>
      <c r="K113">
        <v>5</v>
      </c>
      <c r="L113" s="11">
        <v>-0.147059</v>
      </c>
      <c r="M113" t="s">
        <v>594</v>
      </c>
      <c r="N113" s="12">
        <v>0</v>
      </c>
      <c r="O113" s="12">
        <v>3</v>
      </c>
      <c r="P113" s="12">
        <v>2</v>
      </c>
      <c r="Q113" s="12">
        <v>0</v>
      </c>
      <c r="R113" s="12">
        <v>1</v>
      </c>
      <c r="S113" s="12">
        <v>2</v>
      </c>
      <c r="T113" s="1" t="s">
        <v>595</v>
      </c>
      <c r="U113" s="1" t="s">
        <v>596</v>
      </c>
      <c r="V113">
        <v>20260719</v>
      </c>
      <c r="W113">
        <v>46222.653275462966</v>
      </c>
    </row>
    <row r="114" spans="1:23" ht="45">
      <c r="A114" t="s">
        <v>296</v>
      </c>
      <c r="B114" t="s">
        <v>213</v>
      </c>
      <c r="C114" t="s">
        <v>17</v>
      </c>
      <c r="D114" t="s">
        <v>45</v>
      </c>
      <c r="E114" t="s">
        <v>208</v>
      </c>
      <c r="F114" s="1" t="s">
        <v>214</v>
      </c>
      <c r="G114" s="1" t="s">
        <v>215</v>
      </c>
      <c r="H114" s="1" t="s">
        <v>297</v>
      </c>
      <c r="I114">
        <v>34</v>
      </c>
      <c r="J114">
        <v>0</v>
      </c>
      <c r="K114">
        <v>5</v>
      </c>
      <c r="L114" s="11">
        <v>-0.147059</v>
      </c>
      <c r="M114" t="s">
        <v>597</v>
      </c>
      <c r="N114" s="12">
        <v>1</v>
      </c>
      <c r="O114" s="12">
        <v>3</v>
      </c>
      <c r="P114" s="12">
        <v>2</v>
      </c>
      <c r="Q114" s="12">
        <v>0</v>
      </c>
      <c r="R114" s="12">
        <v>1</v>
      </c>
      <c r="S114" s="12">
        <v>2</v>
      </c>
      <c r="T114" s="1" t="s">
        <v>595</v>
      </c>
      <c r="U114" s="1" t="s">
        <v>596</v>
      </c>
      <c r="V114">
        <v>20260719</v>
      </c>
      <c r="W114">
        <v>46222.653275462966</v>
      </c>
    </row>
    <row r="115" spans="1:23" ht="45">
      <c r="A115" t="s">
        <v>296</v>
      </c>
      <c r="B115" t="s">
        <v>213</v>
      </c>
      <c r="C115" t="s">
        <v>17</v>
      </c>
      <c r="D115" t="s">
        <v>45</v>
      </c>
      <c r="E115" t="s">
        <v>208</v>
      </c>
      <c r="F115" s="1" t="s">
        <v>214</v>
      </c>
      <c r="G115" s="1" t="s">
        <v>215</v>
      </c>
      <c r="H115" s="1" t="s">
        <v>297</v>
      </c>
      <c r="I115">
        <v>34</v>
      </c>
      <c r="J115">
        <v>0</v>
      </c>
      <c r="K115">
        <v>5</v>
      </c>
      <c r="L115" s="11">
        <v>-0.147059</v>
      </c>
      <c r="M115" t="s">
        <v>598</v>
      </c>
      <c r="N115" s="12">
        <v>0</v>
      </c>
      <c r="O115" s="12">
        <v>3</v>
      </c>
      <c r="P115" s="12">
        <v>2</v>
      </c>
      <c r="Q115" s="12">
        <v>0</v>
      </c>
      <c r="R115" s="12">
        <v>1</v>
      </c>
      <c r="S115" s="12">
        <v>2</v>
      </c>
      <c r="T115" s="1" t="s">
        <v>595</v>
      </c>
      <c r="U115" s="1" t="s">
        <v>596</v>
      </c>
      <c r="V115">
        <v>20260719</v>
      </c>
      <c r="W115">
        <v>46222.653275462966</v>
      </c>
    </row>
    <row r="116" spans="1:23" ht="45">
      <c r="A116" t="s">
        <v>298</v>
      </c>
      <c r="B116" t="s">
        <v>218</v>
      </c>
      <c r="C116" t="s">
        <v>17</v>
      </c>
      <c r="D116" t="s">
        <v>45</v>
      </c>
      <c r="E116" t="s">
        <v>208</v>
      </c>
      <c r="F116" s="1" t="s">
        <v>219</v>
      </c>
      <c r="G116" s="1" t="s">
        <v>220</v>
      </c>
      <c r="H116" s="1" t="s">
        <v>299</v>
      </c>
      <c r="I116">
        <v>34</v>
      </c>
      <c r="J116">
        <v>0</v>
      </c>
      <c r="K116">
        <v>5</v>
      </c>
      <c r="L116" s="11">
        <v>-0.147059</v>
      </c>
      <c r="M116" t="s">
        <v>594</v>
      </c>
      <c r="N116" s="12">
        <v>0</v>
      </c>
      <c r="O116" s="12">
        <v>2</v>
      </c>
      <c r="P116" s="12">
        <v>2</v>
      </c>
      <c r="Q116" s="12">
        <v>0</v>
      </c>
      <c r="R116" s="12">
        <v>1</v>
      </c>
      <c r="S116" s="12">
        <v>1</v>
      </c>
      <c r="T116" s="1" t="s">
        <v>595</v>
      </c>
      <c r="U116" s="1" t="s">
        <v>596</v>
      </c>
      <c r="V116">
        <v>20260719</v>
      </c>
      <c r="W116">
        <v>46222.653275462966</v>
      </c>
    </row>
    <row r="117" spans="1:23" ht="45">
      <c r="A117" t="s">
        <v>298</v>
      </c>
      <c r="B117" t="s">
        <v>218</v>
      </c>
      <c r="C117" t="s">
        <v>17</v>
      </c>
      <c r="D117" t="s">
        <v>45</v>
      </c>
      <c r="E117" t="s">
        <v>208</v>
      </c>
      <c r="F117" s="1" t="s">
        <v>219</v>
      </c>
      <c r="G117" s="1" t="s">
        <v>220</v>
      </c>
      <c r="H117" s="1" t="s">
        <v>299</v>
      </c>
      <c r="I117">
        <v>34</v>
      </c>
      <c r="J117">
        <v>0</v>
      </c>
      <c r="K117">
        <v>5</v>
      </c>
      <c r="L117" s="11">
        <v>-0.147059</v>
      </c>
      <c r="M117" t="s">
        <v>597</v>
      </c>
      <c r="N117" s="12">
        <v>0</v>
      </c>
      <c r="O117" s="12">
        <v>3</v>
      </c>
      <c r="P117" s="12">
        <v>2</v>
      </c>
      <c r="Q117" s="12">
        <v>0</v>
      </c>
      <c r="R117" s="12">
        <v>1</v>
      </c>
      <c r="S117" s="12">
        <v>2</v>
      </c>
      <c r="T117" s="1" t="s">
        <v>595</v>
      </c>
      <c r="U117" s="1" t="s">
        <v>596</v>
      </c>
      <c r="V117">
        <v>20260719</v>
      </c>
      <c r="W117">
        <v>46222.653275462966</v>
      </c>
    </row>
    <row r="118" spans="1:23" ht="45">
      <c r="A118" t="s">
        <v>298</v>
      </c>
      <c r="B118" t="s">
        <v>218</v>
      </c>
      <c r="C118" t="s">
        <v>17</v>
      </c>
      <c r="D118" t="s">
        <v>45</v>
      </c>
      <c r="E118" t="s">
        <v>208</v>
      </c>
      <c r="F118" s="1" t="s">
        <v>219</v>
      </c>
      <c r="G118" s="1" t="s">
        <v>220</v>
      </c>
      <c r="H118" s="1" t="s">
        <v>299</v>
      </c>
      <c r="I118">
        <v>34</v>
      </c>
      <c r="J118">
        <v>0</v>
      </c>
      <c r="K118">
        <v>5</v>
      </c>
      <c r="L118" s="11">
        <v>-0.147059</v>
      </c>
      <c r="M118" t="s">
        <v>598</v>
      </c>
      <c r="N118" s="12">
        <v>0</v>
      </c>
      <c r="O118" s="12">
        <v>3</v>
      </c>
      <c r="P118" s="12">
        <v>2</v>
      </c>
      <c r="Q118" s="12">
        <v>0</v>
      </c>
      <c r="R118" s="12">
        <v>1</v>
      </c>
      <c r="S118" s="12">
        <v>2</v>
      </c>
      <c r="T118" s="1" t="s">
        <v>595</v>
      </c>
      <c r="U118" s="1" t="s">
        <v>596</v>
      </c>
      <c r="V118">
        <v>20260719</v>
      </c>
      <c r="W118">
        <v>46222.653275462966</v>
      </c>
    </row>
    <row r="119" spans="1:23" ht="45">
      <c r="A119" t="s">
        <v>300</v>
      </c>
      <c r="B119" t="s">
        <v>223</v>
      </c>
      <c r="C119" t="s">
        <v>17</v>
      </c>
      <c r="D119" t="s">
        <v>45</v>
      </c>
      <c r="E119" t="s">
        <v>208</v>
      </c>
      <c r="F119" s="1" t="s">
        <v>224</v>
      </c>
      <c r="G119" s="1" t="s">
        <v>225</v>
      </c>
      <c r="H119" s="1" t="s">
        <v>301</v>
      </c>
      <c r="I119">
        <v>36</v>
      </c>
      <c r="J119">
        <v>0</v>
      </c>
      <c r="K119">
        <v>5</v>
      </c>
      <c r="L119" s="11">
        <v>-0.13888900000000001</v>
      </c>
      <c r="M119" t="s">
        <v>594</v>
      </c>
      <c r="N119" s="12">
        <v>0</v>
      </c>
      <c r="O119" s="12">
        <v>3</v>
      </c>
      <c r="P119" s="12">
        <v>3</v>
      </c>
      <c r="Q119" s="12">
        <v>0</v>
      </c>
      <c r="R119" s="12">
        <v>2</v>
      </c>
      <c r="S119" s="12">
        <v>3</v>
      </c>
      <c r="T119" s="1" t="s">
        <v>595</v>
      </c>
      <c r="U119" s="1" t="s">
        <v>596</v>
      </c>
      <c r="V119">
        <v>20260719</v>
      </c>
      <c r="W119">
        <v>46222.653275462966</v>
      </c>
    </row>
    <row r="120" spans="1:23" ht="45">
      <c r="A120" t="s">
        <v>300</v>
      </c>
      <c r="B120" t="s">
        <v>223</v>
      </c>
      <c r="C120" t="s">
        <v>17</v>
      </c>
      <c r="D120" t="s">
        <v>45</v>
      </c>
      <c r="E120" t="s">
        <v>208</v>
      </c>
      <c r="F120" s="1" t="s">
        <v>224</v>
      </c>
      <c r="G120" s="1" t="s">
        <v>225</v>
      </c>
      <c r="H120" s="1" t="s">
        <v>301</v>
      </c>
      <c r="I120">
        <v>36</v>
      </c>
      <c r="J120">
        <v>0</v>
      </c>
      <c r="K120">
        <v>5</v>
      </c>
      <c r="L120" s="11">
        <v>-0.13888900000000001</v>
      </c>
      <c r="M120" t="s">
        <v>597</v>
      </c>
      <c r="N120" s="12">
        <v>0</v>
      </c>
      <c r="O120" s="12">
        <v>3</v>
      </c>
      <c r="P120" s="12">
        <v>3</v>
      </c>
      <c r="Q120" s="12">
        <v>0</v>
      </c>
      <c r="R120" s="12">
        <v>2</v>
      </c>
      <c r="S120" s="12">
        <v>3</v>
      </c>
      <c r="T120" s="1" t="s">
        <v>595</v>
      </c>
      <c r="U120" s="1" t="s">
        <v>596</v>
      </c>
      <c r="V120">
        <v>20260719</v>
      </c>
      <c r="W120">
        <v>46222.653275462966</v>
      </c>
    </row>
    <row r="121" spans="1:23" ht="45">
      <c r="A121" t="s">
        <v>300</v>
      </c>
      <c r="B121" t="s">
        <v>223</v>
      </c>
      <c r="C121" t="s">
        <v>17</v>
      </c>
      <c r="D121" t="s">
        <v>45</v>
      </c>
      <c r="E121" t="s">
        <v>208</v>
      </c>
      <c r="F121" s="1" t="s">
        <v>224</v>
      </c>
      <c r="G121" s="1" t="s">
        <v>225</v>
      </c>
      <c r="H121" s="1" t="s">
        <v>301</v>
      </c>
      <c r="I121">
        <v>36</v>
      </c>
      <c r="J121">
        <v>0</v>
      </c>
      <c r="K121">
        <v>5</v>
      </c>
      <c r="L121" s="11">
        <v>-0.13888900000000001</v>
      </c>
      <c r="M121" t="s">
        <v>598</v>
      </c>
      <c r="N121" s="12">
        <v>1</v>
      </c>
      <c r="O121" s="12">
        <v>3</v>
      </c>
      <c r="P121" s="12">
        <v>3</v>
      </c>
      <c r="Q121" s="12">
        <v>1</v>
      </c>
      <c r="R121" s="12">
        <v>2</v>
      </c>
      <c r="S121" s="12">
        <v>3</v>
      </c>
      <c r="T121" s="1" t="s">
        <v>595</v>
      </c>
      <c r="U121" s="1" t="s">
        <v>596</v>
      </c>
      <c r="V121">
        <v>20260719</v>
      </c>
      <c r="W121">
        <v>46222.653275462966</v>
      </c>
    </row>
    <row r="122" spans="1:23" ht="45">
      <c r="A122" t="s">
        <v>302</v>
      </c>
      <c r="B122" t="s">
        <v>228</v>
      </c>
      <c r="C122" t="s">
        <v>17</v>
      </c>
      <c r="D122" t="s">
        <v>45</v>
      </c>
      <c r="E122" t="s">
        <v>229</v>
      </c>
      <c r="F122" s="1" t="s">
        <v>230</v>
      </c>
      <c r="G122" s="1" t="s">
        <v>231</v>
      </c>
      <c r="H122" s="1" t="s">
        <v>303</v>
      </c>
      <c r="I122">
        <v>33</v>
      </c>
      <c r="J122">
        <v>0</v>
      </c>
      <c r="K122">
        <v>5</v>
      </c>
      <c r="L122" s="11">
        <v>-0.15151500000000001</v>
      </c>
      <c r="M122" t="s">
        <v>594</v>
      </c>
      <c r="N122" s="12">
        <v>0</v>
      </c>
      <c r="O122" s="12">
        <v>2</v>
      </c>
      <c r="P122" s="12">
        <v>3</v>
      </c>
      <c r="Q122" s="12">
        <v>0</v>
      </c>
      <c r="R122" s="12">
        <v>2</v>
      </c>
      <c r="S122" s="12">
        <v>2</v>
      </c>
      <c r="T122" s="1" t="s">
        <v>595</v>
      </c>
      <c r="U122" s="1" t="s">
        <v>596</v>
      </c>
      <c r="V122">
        <v>20260719</v>
      </c>
      <c r="W122">
        <v>46222.653275462966</v>
      </c>
    </row>
    <row r="123" spans="1:23" ht="45">
      <c r="A123" t="s">
        <v>302</v>
      </c>
      <c r="B123" t="s">
        <v>228</v>
      </c>
      <c r="C123" t="s">
        <v>17</v>
      </c>
      <c r="D123" t="s">
        <v>45</v>
      </c>
      <c r="E123" t="s">
        <v>229</v>
      </c>
      <c r="F123" s="1" t="s">
        <v>230</v>
      </c>
      <c r="G123" s="1" t="s">
        <v>231</v>
      </c>
      <c r="H123" s="1" t="s">
        <v>303</v>
      </c>
      <c r="I123">
        <v>33</v>
      </c>
      <c r="J123">
        <v>0</v>
      </c>
      <c r="K123">
        <v>5</v>
      </c>
      <c r="L123" s="11">
        <v>-0.15151500000000001</v>
      </c>
      <c r="M123" t="s">
        <v>597</v>
      </c>
      <c r="N123" s="12">
        <v>0</v>
      </c>
      <c r="O123" s="12">
        <v>2</v>
      </c>
      <c r="P123" s="12">
        <v>3</v>
      </c>
      <c r="Q123" s="12">
        <v>0</v>
      </c>
      <c r="R123" s="12">
        <v>2</v>
      </c>
      <c r="S123" s="12">
        <v>1</v>
      </c>
      <c r="T123" s="1" t="s">
        <v>595</v>
      </c>
      <c r="U123" s="1" t="s">
        <v>596</v>
      </c>
      <c r="V123">
        <v>20260719</v>
      </c>
      <c r="W123">
        <v>46222.653275462966</v>
      </c>
    </row>
    <row r="124" spans="1:23" ht="45">
      <c r="A124" t="s">
        <v>302</v>
      </c>
      <c r="B124" t="s">
        <v>228</v>
      </c>
      <c r="C124" t="s">
        <v>17</v>
      </c>
      <c r="D124" t="s">
        <v>45</v>
      </c>
      <c r="E124" t="s">
        <v>229</v>
      </c>
      <c r="F124" s="1" t="s">
        <v>230</v>
      </c>
      <c r="G124" s="1" t="s">
        <v>231</v>
      </c>
      <c r="H124" s="1" t="s">
        <v>303</v>
      </c>
      <c r="I124">
        <v>33</v>
      </c>
      <c r="J124">
        <v>0</v>
      </c>
      <c r="K124">
        <v>5</v>
      </c>
      <c r="L124" s="11">
        <v>-0.15151500000000001</v>
      </c>
      <c r="M124" t="s">
        <v>598</v>
      </c>
      <c r="N124" s="12">
        <v>0</v>
      </c>
      <c r="O124" s="12">
        <v>2</v>
      </c>
      <c r="P124" s="12">
        <v>3</v>
      </c>
      <c r="Q124" s="12">
        <v>1</v>
      </c>
      <c r="R124" s="12">
        <v>2</v>
      </c>
      <c r="S124" s="12">
        <v>2</v>
      </c>
      <c r="T124" s="1" t="s">
        <v>595</v>
      </c>
      <c r="U124" s="1" t="s">
        <v>596</v>
      </c>
      <c r="V124">
        <v>20260719</v>
      </c>
      <c r="W124">
        <v>46222.653275462966</v>
      </c>
    </row>
    <row r="125" spans="1:23" ht="45">
      <c r="A125" t="s">
        <v>304</v>
      </c>
      <c r="B125" t="s">
        <v>234</v>
      </c>
      <c r="C125" t="s">
        <v>17</v>
      </c>
      <c r="D125" t="s">
        <v>45</v>
      </c>
      <c r="E125" t="s">
        <v>229</v>
      </c>
      <c r="F125" s="1" t="s">
        <v>235</v>
      </c>
      <c r="G125" s="1" t="s">
        <v>236</v>
      </c>
      <c r="H125" s="1" t="s">
        <v>305</v>
      </c>
      <c r="I125">
        <v>39</v>
      </c>
      <c r="J125">
        <v>0</v>
      </c>
      <c r="K125">
        <v>5</v>
      </c>
      <c r="L125" s="11">
        <v>-0.12820500000000001</v>
      </c>
      <c r="M125" t="s">
        <v>594</v>
      </c>
      <c r="N125" s="12">
        <v>0</v>
      </c>
      <c r="O125" s="12">
        <v>3</v>
      </c>
      <c r="P125" s="12">
        <v>3</v>
      </c>
      <c r="Q125" s="12">
        <v>0</v>
      </c>
      <c r="R125" s="12">
        <v>2</v>
      </c>
      <c r="S125" s="12">
        <v>3</v>
      </c>
      <c r="T125" s="1" t="s">
        <v>595</v>
      </c>
      <c r="U125" s="1" t="s">
        <v>596</v>
      </c>
      <c r="V125">
        <v>20260719</v>
      </c>
      <c r="W125">
        <v>46222.653275462966</v>
      </c>
    </row>
    <row r="126" spans="1:23" ht="45">
      <c r="A126" t="s">
        <v>304</v>
      </c>
      <c r="B126" t="s">
        <v>234</v>
      </c>
      <c r="C126" t="s">
        <v>17</v>
      </c>
      <c r="D126" t="s">
        <v>45</v>
      </c>
      <c r="E126" t="s">
        <v>229</v>
      </c>
      <c r="F126" s="1" t="s">
        <v>235</v>
      </c>
      <c r="G126" s="1" t="s">
        <v>236</v>
      </c>
      <c r="H126" s="1" t="s">
        <v>305</v>
      </c>
      <c r="I126">
        <v>39</v>
      </c>
      <c r="J126">
        <v>0</v>
      </c>
      <c r="K126">
        <v>5</v>
      </c>
      <c r="L126" s="11">
        <v>-0.12820500000000001</v>
      </c>
      <c r="M126" t="s">
        <v>597</v>
      </c>
      <c r="N126" s="12">
        <v>0</v>
      </c>
      <c r="O126" s="12">
        <v>3</v>
      </c>
      <c r="P126" s="12">
        <v>2</v>
      </c>
      <c r="Q126" s="12">
        <v>0</v>
      </c>
      <c r="R126" s="12">
        <v>2</v>
      </c>
      <c r="S126" s="12">
        <v>3</v>
      </c>
      <c r="T126" s="1" t="s">
        <v>595</v>
      </c>
      <c r="U126" s="1" t="s">
        <v>596</v>
      </c>
      <c r="V126">
        <v>20260719</v>
      </c>
      <c r="W126">
        <v>46222.653275462966</v>
      </c>
    </row>
    <row r="127" spans="1:23" ht="45">
      <c r="A127" t="s">
        <v>304</v>
      </c>
      <c r="B127" t="s">
        <v>234</v>
      </c>
      <c r="C127" t="s">
        <v>17</v>
      </c>
      <c r="D127" t="s">
        <v>45</v>
      </c>
      <c r="E127" t="s">
        <v>229</v>
      </c>
      <c r="F127" s="1" t="s">
        <v>235</v>
      </c>
      <c r="G127" s="1" t="s">
        <v>236</v>
      </c>
      <c r="H127" s="1" t="s">
        <v>305</v>
      </c>
      <c r="I127">
        <v>39</v>
      </c>
      <c r="J127">
        <v>0</v>
      </c>
      <c r="K127">
        <v>5</v>
      </c>
      <c r="L127" s="11">
        <v>-0.12820500000000001</v>
      </c>
      <c r="M127" t="s">
        <v>598</v>
      </c>
      <c r="N127" s="12">
        <v>0</v>
      </c>
      <c r="O127" s="12">
        <v>3</v>
      </c>
      <c r="P127" s="12">
        <v>3</v>
      </c>
      <c r="Q127" s="12">
        <v>1</v>
      </c>
      <c r="R127" s="12">
        <v>2</v>
      </c>
      <c r="S127" s="12">
        <v>3</v>
      </c>
      <c r="T127" s="1" t="s">
        <v>595</v>
      </c>
      <c r="U127" s="1" t="s">
        <v>596</v>
      </c>
      <c r="V127">
        <v>20260719</v>
      </c>
      <c r="W127">
        <v>46222.653275462966</v>
      </c>
    </row>
    <row r="128" spans="1:23" ht="45">
      <c r="A128" t="s">
        <v>306</v>
      </c>
      <c r="B128" t="s">
        <v>239</v>
      </c>
      <c r="C128" t="s">
        <v>17</v>
      </c>
      <c r="D128" t="s">
        <v>45</v>
      </c>
      <c r="E128" t="s">
        <v>229</v>
      </c>
      <c r="F128" s="1" t="s">
        <v>240</v>
      </c>
      <c r="G128" s="1" t="s">
        <v>241</v>
      </c>
      <c r="H128" s="1" t="s">
        <v>307</v>
      </c>
      <c r="I128">
        <v>36</v>
      </c>
      <c r="J128">
        <v>0</v>
      </c>
      <c r="K128">
        <v>5</v>
      </c>
      <c r="L128" s="11">
        <v>-0.13888900000000001</v>
      </c>
      <c r="M128" t="s">
        <v>594</v>
      </c>
      <c r="N128" s="12">
        <v>0</v>
      </c>
      <c r="O128" s="12">
        <v>2</v>
      </c>
      <c r="P128" s="12">
        <v>3</v>
      </c>
      <c r="Q128" s="12">
        <v>1</v>
      </c>
      <c r="R128" s="12">
        <v>2</v>
      </c>
      <c r="S128" s="12">
        <v>2</v>
      </c>
      <c r="T128" s="1" t="s">
        <v>595</v>
      </c>
      <c r="U128" s="1" t="s">
        <v>596</v>
      </c>
      <c r="V128">
        <v>20260719</v>
      </c>
      <c r="W128">
        <v>46222.653275462966</v>
      </c>
    </row>
    <row r="129" spans="1:23" ht="45">
      <c r="A129" t="s">
        <v>306</v>
      </c>
      <c r="B129" t="s">
        <v>239</v>
      </c>
      <c r="C129" t="s">
        <v>17</v>
      </c>
      <c r="D129" t="s">
        <v>45</v>
      </c>
      <c r="E129" t="s">
        <v>229</v>
      </c>
      <c r="F129" s="1" t="s">
        <v>240</v>
      </c>
      <c r="G129" s="1" t="s">
        <v>241</v>
      </c>
      <c r="H129" s="1" t="s">
        <v>307</v>
      </c>
      <c r="I129">
        <v>36</v>
      </c>
      <c r="J129">
        <v>0</v>
      </c>
      <c r="K129">
        <v>5</v>
      </c>
      <c r="L129" s="11">
        <v>-0.13888900000000001</v>
      </c>
      <c r="M129" t="s">
        <v>597</v>
      </c>
      <c r="N129" s="12">
        <v>0</v>
      </c>
      <c r="O129" s="12">
        <v>2</v>
      </c>
      <c r="P129" s="12">
        <v>2</v>
      </c>
      <c r="Q129" s="12">
        <v>0</v>
      </c>
      <c r="R129" s="12">
        <v>1</v>
      </c>
      <c r="S129" s="12">
        <v>2</v>
      </c>
      <c r="T129" s="1" t="s">
        <v>595</v>
      </c>
      <c r="U129" s="1" t="s">
        <v>596</v>
      </c>
      <c r="V129">
        <v>20260719</v>
      </c>
      <c r="W129">
        <v>46222.653275462966</v>
      </c>
    </row>
    <row r="130" spans="1:23" ht="45">
      <c r="A130" t="s">
        <v>306</v>
      </c>
      <c r="B130" t="s">
        <v>239</v>
      </c>
      <c r="C130" t="s">
        <v>17</v>
      </c>
      <c r="D130" t="s">
        <v>45</v>
      </c>
      <c r="E130" t="s">
        <v>229</v>
      </c>
      <c r="F130" s="1" t="s">
        <v>240</v>
      </c>
      <c r="G130" s="1" t="s">
        <v>241</v>
      </c>
      <c r="H130" s="1" t="s">
        <v>307</v>
      </c>
      <c r="I130">
        <v>36</v>
      </c>
      <c r="J130">
        <v>0</v>
      </c>
      <c r="K130">
        <v>5</v>
      </c>
      <c r="L130" s="11">
        <v>-0.13888900000000001</v>
      </c>
      <c r="M130" t="s">
        <v>598</v>
      </c>
      <c r="N130" s="12">
        <v>1</v>
      </c>
      <c r="O130" s="12">
        <v>2</v>
      </c>
      <c r="P130" s="12">
        <v>3</v>
      </c>
      <c r="Q130" s="12">
        <v>0</v>
      </c>
      <c r="R130" s="12">
        <v>2</v>
      </c>
      <c r="S130" s="12">
        <v>2</v>
      </c>
      <c r="T130" s="1" t="s">
        <v>595</v>
      </c>
      <c r="U130" s="1" t="s">
        <v>596</v>
      </c>
      <c r="V130">
        <v>20260719</v>
      </c>
      <c r="W130">
        <v>46222.653275462966</v>
      </c>
    </row>
    <row r="131" spans="1:23" ht="45">
      <c r="A131" t="s">
        <v>308</v>
      </c>
      <c r="B131" t="s">
        <v>244</v>
      </c>
      <c r="C131" t="s">
        <v>17</v>
      </c>
      <c r="D131" t="s">
        <v>45</v>
      </c>
      <c r="E131" t="s">
        <v>229</v>
      </c>
      <c r="F131" s="1" t="s">
        <v>245</v>
      </c>
      <c r="G131" s="1" t="s">
        <v>246</v>
      </c>
      <c r="H131" s="1" t="s">
        <v>309</v>
      </c>
      <c r="I131">
        <v>34</v>
      </c>
      <c r="J131">
        <v>0</v>
      </c>
      <c r="K131">
        <v>5</v>
      </c>
      <c r="L131" s="11">
        <v>-0.147059</v>
      </c>
      <c r="M131" t="s">
        <v>594</v>
      </c>
      <c r="N131" s="12">
        <v>0</v>
      </c>
      <c r="O131" s="12">
        <v>3</v>
      </c>
      <c r="P131" s="12">
        <v>3</v>
      </c>
      <c r="Q131" s="12">
        <v>0</v>
      </c>
      <c r="R131" s="12">
        <v>3</v>
      </c>
      <c r="S131" s="12">
        <v>2</v>
      </c>
      <c r="T131" s="1" t="s">
        <v>595</v>
      </c>
      <c r="U131" s="1" t="s">
        <v>596</v>
      </c>
      <c r="V131">
        <v>20260719</v>
      </c>
      <c r="W131">
        <v>46222.653275462966</v>
      </c>
    </row>
    <row r="132" spans="1:23" ht="45">
      <c r="A132" t="s">
        <v>308</v>
      </c>
      <c r="B132" t="s">
        <v>244</v>
      </c>
      <c r="C132" t="s">
        <v>17</v>
      </c>
      <c r="D132" t="s">
        <v>45</v>
      </c>
      <c r="E132" t="s">
        <v>229</v>
      </c>
      <c r="F132" s="1" t="s">
        <v>245</v>
      </c>
      <c r="G132" s="1" t="s">
        <v>246</v>
      </c>
      <c r="H132" s="1" t="s">
        <v>309</v>
      </c>
      <c r="I132">
        <v>34</v>
      </c>
      <c r="J132">
        <v>0</v>
      </c>
      <c r="K132">
        <v>5</v>
      </c>
      <c r="L132" s="11">
        <v>-0.147059</v>
      </c>
      <c r="M132" t="s">
        <v>597</v>
      </c>
      <c r="N132" s="12">
        <v>0</v>
      </c>
      <c r="O132" s="12">
        <v>3</v>
      </c>
      <c r="P132" s="12">
        <v>3</v>
      </c>
      <c r="Q132" s="12">
        <v>0</v>
      </c>
      <c r="R132" s="12">
        <v>3</v>
      </c>
      <c r="S132" s="12">
        <v>2</v>
      </c>
      <c r="T132" s="1" t="s">
        <v>595</v>
      </c>
      <c r="U132" s="1" t="s">
        <v>596</v>
      </c>
      <c r="V132">
        <v>20260719</v>
      </c>
      <c r="W132">
        <v>46222.653275462966</v>
      </c>
    </row>
    <row r="133" spans="1:23" ht="45">
      <c r="A133" t="s">
        <v>308</v>
      </c>
      <c r="B133" t="s">
        <v>244</v>
      </c>
      <c r="C133" t="s">
        <v>17</v>
      </c>
      <c r="D133" t="s">
        <v>45</v>
      </c>
      <c r="E133" t="s">
        <v>229</v>
      </c>
      <c r="F133" s="1" t="s">
        <v>245</v>
      </c>
      <c r="G133" s="1" t="s">
        <v>246</v>
      </c>
      <c r="H133" s="1" t="s">
        <v>309</v>
      </c>
      <c r="I133">
        <v>34</v>
      </c>
      <c r="J133">
        <v>0</v>
      </c>
      <c r="K133">
        <v>5</v>
      </c>
      <c r="L133" s="11">
        <v>-0.147059</v>
      </c>
      <c r="M133" t="s">
        <v>598</v>
      </c>
      <c r="N133" s="12">
        <v>1</v>
      </c>
      <c r="O133" s="12">
        <v>3</v>
      </c>
      <c r="P133" s="12">
        <v>3</v>
      </c>
      <c r="Q133" s="12">
        <v>0</v>
      </c>
      <c r="R133" s="12">
        <v>3</v>
      </c>
      <c r="S133" s="12">
        <v>2</v>
      </c>
      <c r="T133" s="1" t="s">
        <v>595</v>
      </c>
      <c r="U133" s="1" t="s">
        <v>596</v>
      </c>
      <c r="V133">
        <v>20260719</v>
      </c>
      <c r="W133">
        <v>46222.653275462966</v>
      </c>
    </row>
    <row r="134" spans="1:23" ht="45">
      <c r="A134" t="s">
        <v>310</v>
      </c>
      <c r="B134" t="s">
        <v>249</v>
      </c>
      <c r="C134" t="s">
        <v>17</v>
      </c>
      <c r="D134" t="s">
        <v>45</v>
      </c>
      <c r="E134" t="s">
        <v>250</v>
      </c>
      <c r="F134" s="1" t="s">
        <v>251</v>
      </c>
      <c r="G134" s="1" t="s">
        <v>252</v>
      </c>
      <c r="H134" s="1" t="s">
        <v>311</v>
      </c>
      <c r="I134">
        <v>32</v>
      </c>
      <c r="J134">
        <v>0</v>
      </c>
      <c r="K134">
        <v>5</v>
      </c>
      <c r="L134" s="11">
        <v>-0.15625</v>
      </c>
      <c r="M134" t="s">
        <v>594</v>
      </c>
      <c r="N134" s="12">
        <v>0</v>
      </c>
      <c r="O134" s="12">
        <v>2</v>
      </c>
      <c r="P134" s="12">
        <v>3</v>
      </c>
      <c r="Q134" s="12">
        <v>0</v>
      </c>
      <c r="R134" s="12">
        <v>2</v>
      </c>
      <c r="S134" s="12">
        <v>2</v>
      </c>
      <c r="T134" s="1" t="s">
        <v>595</v>
      </c>
      <c r="U134" s="1" t="s">
        <v>596</v>
      </c>
      <c r="V134">
        <v>20260719</v>
      </c>
      <c r="W134">
        <v>46222.653275462966</v>
      </c>
    </row>
    <row r="135" spans="1:23" ht="45">
      <c r="A135" t="s">
        <v>310</v>
      </c>
      <c r="B135" t="s">
        <v>249</v>
      </c>
      <c r="C135" t="s">
        <v>17</v>
      </c>
      <c r="D135" t="s">
        <v>45</v>
      </c>
      <c r="E135" t="s">
        <v>250</v>
      </c>
      <c r="F135" s="1" t="s">
        <v>251</v>
      </c>
      <c r="G135" s="1" t="s">
        <v>252</v>
      </c>
      <c r="H135" s="1" t="s">
        <v>311</v>
      </c>
      <c r="I135">
        <v>32</v>
      </c>
      <c r="J135">
        <v>0</v>
      </c>
      <c r="K135">
        <v>5</v>
      </c>
      <c r="L135" s="11">
        <v>-0.15625</v>
      </c>
      <c r="M135" t="s">
        <v>597</v>
      </c>
      <c r="N135" s="12">
        <v>0</v>
      </c>
      <c r="O135" s="12">
        <v>3</v>
      </c>
      <c r="P135" s="12">
        <v>3</v>
      </c>
      <c r="Q135" s="12">
        <v>0</v>
      </c>
      <c r="R135" s="12">
        <v>2</v>
      </c>
      <c r="S135" s="12">
        <v>2</v>
      </c>
      <c r="T135" s="1" t="s">
        <v>595</v>
      </c>
      <c r="U135" s="1" t="s">
        <v>596</v>
      </c>
      <c r="V135">
        <v>20260719</v>
      </c>
      <c r="W135">
        <v>46222.653275462966</v>
      </c>
    </row>
    <row r="136" spans="1:23" ht="45">
      <c r="A136" t="s">
        <v>310</v>
      </c>
      <c r="B136" t="s">
        <v>249</v>
      </c>
      <c r="C136" t="s">
        <v>17</v>
      </c>
      <c r="D136" t="s">
        <v>45</v>
      </c>
      <c r="E136" t="s">
        <v>250</v>
      </c>
      <c r="F136" s="1" t="s">
        <v>251</v>
      </c>
      <c r="G136" s="1" t="s">
        <v>252</v>
      </c>
      <c r="H136" s="1" t="s">
        <v>311</v>
      </c>
      <c r="I136">
        <v>32</v>
      </c>
      <c r="J136">
        <v>0</v>
      </c>
      <c r="K136">
        <v>5</v>
      </c>
      <c r="L136" s="11">
        <v>-0.15625</v>
      </c>
      <c r="M136" t="s">
        <v>598</v>
      </c>
      <c r="N136" s="12">
        <v>0</v>
      </c>
      <c r="O136" s="12">
        <v>2</v>
      </c>
      <c r="P136" s="12">
        <v>3</v>
      </c>
      <c r="Q136" s="12">
        <v>0</v>
      </c>
      <c r="R136" s="12">
        <v>2</v>
      </c>
      <c r="S136" s="12">
        <v>2</v>
      </c>
      <c r="T136" s="1" t="s">
        <v>595</v>
      </c>
      <c r="U136" s="1" t="s">
        <v>596</v>
      </c>
      <c r="V136">
        <v>20260719</v>
      </c>
      <c r="W136">
        <v>46222.653275462966</v>
      </c>
    </row>
    <row r="137" spans="1:23" ht="45">
      <c r="A137" t="s">
        <v>312</v>
      </c>
      <c r="B137" t="s">
        <v>255</v>
      </c>
      <c r="C137" t="s">
        <v>17</v>
      </c>
      <c r="D137" t="s">
        <v>45</v>
      </c>
      <c r="E137" t="s">
        <v>250</v>
      </c>
      <c r="F137" s="1" t="s">
        <v>256</v>
      </c>
      <c r="G137" s="1" t="s">
        <v>257</v>
      </c>
      <c r="H137" s="1" t="s">
        <v>313</v>
      </c>
      <c r="I137">
        <v>37</v>
      </c>
      <c r="J137">
        <v>0</v>
      </c>
      <c r="K137">
        <v>5</v>
      </c>
      <c r="L137" s="11">
        <v>-0.13513500000000001</v>
      </c>
      <c r="M137" t="s">
        <v>594</v>
      </c>
      <c r="N137" s="12">
        <v>0</v>
      </c>
      <c r="O137" s="12">
        <v>2</v>
      </c>
      <c r="P137" s="12">
        <v>3</v>
      </c>
      <c r="Q137" s="12">
        <v>0</v>
      </c>
      <c r="R137" s="12">
        <v>2</v>
      </c>
      <c r="S137" s="12">
        <v>2</v>
      </c>
      <c r="T137" s="1" t="s">
        <v>595</v>
      </c>
      <c r="U137" s="1" t="s">
        <v>596</v>
      </c>
      <c r="V137">
        <v>20260719</v>
      </c>
      <c r="W137">
        <v>46222.653275462966</v>
      </c>
    </row>
    <row r="138" spans="1:23" ht="45">
      <c r="A138" t="s">
        <v>312</v>
      </c>
      <c r="B138" t="s">
        <v>255</v>
      </c>
      <c r="C138" t="s">
        <v>17</v>
      </c>
      <c r="D138" t="s">
        <v>45</v>
      </c>
      <c r="E138" t="s">
        <v>250</v>
      </c>
      <c r="F138" s="1" t="s">
        <v>256</v>
      </c>
      <c r="G138" s="1" t="s">
        <v>257</v>
      </c>
      <c r="H138" s="1" t="s">
        <v>313</v>
      </c>
      <c r="I138">
        <v>37</v>
      </c>
      <c r="J138">
        <v>0</v>
      </c>
      <c r="K138">
        <v>5</v>
      </c>
      <c r="L138" s="11">
        <v>-0.13513500000000001</v>
      </c>
      <c r="M138" t="s">
        <v>597</v>
      </c>
      <c r="N138" s="12">
        <v>0</v>
      </c>
      <c r="O138" s="12">
        <v>3</v>
      </c>
      <c r="P138" s="12">
        <v>3</v>
      </c>
      <c r="Q138" s="12">
        <v>0</v>
      </c>
      <c r="R138" s="12">
        <v>2</v>
      </c>
      <c r="S138" s="12">
        <v>2</v>
      </c>
      <c r="T138" s="1" t="s">
        <v>595</v>
      </c>
      <c r="U138" s="1" t="s">
        <v>596</v>
      </c>
      <c r="V138">
        <v>20260719</v>
      </c>
      <c r="W138">
        <v>46222.653275462966</v>
      </c>
    </row>
    <row r="139" spans="1:23" ht="45">
      <c r="A139" t="s">
        <v>312</v>
      </c>
      <c r="B139" t="s">
        <v>255</v>
      </c>
      <c r="C139" t="s">
        <v>17</v>
      </c>
      <c r="D139" t="s">
        <v>45</v>
      </c>
      <c r="E139" t="s">
        <v>250</v>
      </c>
      <c r="F139" s="1" t="s">
        <v>256</v>
      </c>
      <c r="G139" s="1" t="s">
        <v>257</v>
      </c>
      <c r="H139" s="1" t="s">
        <v>313</v>
      </c>
      <c r="I139">
        <v>37</v>
      </c>
      <c r="J139">
        <v>0</v>
      </c>
      <c r="K139">
        <v>5</v>
      </c>
      <c r="L139" s="11">
        <v>-0.13513500000000001</v>
      </c>
      <c r="M139" t="s">
        <v>598</v>
      </c>
      <c r="N139" s="12">
        <v>0</v>
      </c>
      <c r="O139" s="12">
        <v>2</v>
      </c>
      <c r="P139" s="12">
        <v>3</v>
      </c>
      <c r="Q139" s="12">
        <v>0</v>
      </c>
      <c r="R139" s="12">
        <v>2</v>
      </c>
      <c r="S139" s="12">
        <v>2</v>
      </c>
      <c r="T139" s="1" t="s">
        <v>595</v>
      </c>
      <c r="U139" s="1" t="s">
        <v>596</v>
      </c>
      <c r="V139">
        <v>20260719</v>
      </c>
      <c r="W139">
        <v>46222.653275462966</v>
      </c>
    </row>
    <row r="140" spans="1:23" ht="45">
      <c r="A140" t="s">
        <v>314</v>
      </c>
      <c r="B140" t="s">
        <v>260</v>
      </c>
      <c r="C140" t="s">
        <v>17</v>
      </c>
      <c r="D140" t="s">
        <v>45</v>
      </c>
      <c r="E140" t="s">
        <v>250</v>
      </c>
      <c r="F140" s="1" t="s">
        <v>261</v>
      </c>
      <c r="G140" s="1" t="s">
        <v>262</v>
      </c>
      <c r="H140" s="1" t="s">
        <v>315</v>
      </c>
      <c r="I140">
        <v>32</v>
      </c>
      <c r="J140">
        <v>0</v>
      </c>
      <c r="K140">
        <v>5</v>
      </c>
      <c r="L140" s="11">
        <v>-0.15625</v>
      </c>
      <c r="M140" t="s">
        <v>594</v>
      </c>
      <c r="N140" s="12">
        <v>0</v>
      </c>
      <c r="O140" s="12">
        <v>2</v>
      </c>
      <c r="P140" s="12">
        <v>3</v>
      </c>
      <c r="Q140" s="12">
        <v>0</v>
      </c>
      <c r="R140" s="12">
        <v>1</v>
      </c>
      <c r="S140" s="12">
        <v>2</v>
      </c>
      <c r="T140" s="1" t="s">
        <v>595</v>
      </c>
      <c r="U140" s="1" t="s">
        <v>596</v>
      </c>
      <c r="V140">
        <v>20260719</v>
      </c>
      <c r="W140">
        <v>46222.653275462966</v>
      </c>
    </row>
    <row r="141" spans="1:23" ht="45">
      <c r="A141" t="s">
        <v>314</v>
      </c>
      <c r="B141" t="s">
        <v>260</v>
      </c>
      <c r="C141" t="s">
        <v>17</v>
      </c>
      <c r="D141" t="s">
        <v>45</v>
      </c>
      <c r="E141" t="s">
        <v>250</v>
      </c>
      <c r="F141" s="1" t="s">
        <v>261</v>
      </c>
      <c r="G141" s="1" t="s">
        <v>262</v>
      </c>
      <c r="H141" s="1" t="s">
        <v>315</v>
      </c>
      <c r="I141">
        <v>32</v>
      </c>
      <c r="J141">
        <v>0</v>
      </c>
      <c r="K141">
        <v>5</v>
      </c>
      <c r="L141" s="11">
        <v>-0.15625</v>
      </c>
      <c r="M141" t="s">
        <v>597</v>
      </c>
      <c r="N141" s="12">
        <v>0</v>
      </c>
      <c r="O141" s="12">
        <v>2</v>
      </c>
      <c r="P141" s="12">
        <v>3</v>
      </c>
      <c r="Q141" s="12">
        <v>1</v>
      </c>
      <c r="R141" s="12">
        <v>2</v>
      </c>
      <c r="S141" s="12">
        <v>3</v>
      </c>
      <c r="T141" s="1" t="s">
        <v>595</v>
      </c>
      <c r="U141" s="1" t="s">
        <v>596</v>
      </c>
      <c r="V141">
        <v>20260719</v>
      </c>
      <c r="W141">
        <v>46222.653275462966</v>
      </c>
    </row>
    <row r="142" spans="1:23" ht="45">
      <c r="A142" t="s">
        <v>314</v>
      </c>
      <c r="B142" t="s">
        <v>260</v>
      </c>
      <c r="C142" t="s">
        <v>17</v>
      </c>
      <c r="D142" t="s">
        <v>45</v>
      </c>
      <c r="E142" t="s">
        <v>250</v>
      </c>
      <c r="F142" s="1" t="s">
        <v>261</v>
      </c>
      <c r="G142" s="1" t="s">
        <v>262</v>
      </c>
      <c r="H142" s="1" t="s">
        <v>315</v>
      </c>
      <c r="I142">
        <v>32</v>
      </c>
      <c r="J142">
        <v>0</v>
      </c>
      <c r="K142">
        <v>5</v>
      </c>
      <c r="L142" s="11">
        <v>-0.15625</v>
      </c>
      <c r="M142" t="s">
        <v>598</v>
      </c>
      <c r="N142" s="12">
        <v>0</v>
      </c>
      <c r="O142" s="12">
        <v>2</v>
      </c>
      <c r="P142" s="12">
        <v>3</v>
      </c>
      <c r="Q142" s="12">
        <v>0</v>
      </c>
      <c r="R142" s="12">
        <v>2</v>
      </c>
      <c r="S142" s="12">
        <v>3</v>
      </c>
      <c r="T142" s="1" t="s">
        <v>595</v>
      </c>
      <c r="U142" s="1" t="s">
        <v>596</v>
      </c>
      <c r="V142">
        <v>20260719</v>
      </c>
      <c r="W142">
        <v>46222.653275462966</v>
      </c>
    </row>
    <row r="143" spans="1:23" ht="45">
      <c r="A143" t="s">
        <v>316</v>
      </c>
      <c r="B143" t="s">
        <v>265</v>
      </c>
      <c r="C143" t="s">
        <v>17</v>
      </c>
      <c r="D143" t="s">
        <v>45</v>
      </c>
      <c r="E143" t="s">
        <v>250</v>
      </c>
      <c r="F143" s="1" t="s">
        <v>266</v>
      </c>
      <c r="G143" s="1" t="s">
        <v>267</v>
      </c>
      <c r="H143" s="1" t="s">
        <v>317</v>
      </c>
      <c r="I143">
        <v>37</v>
      </c>
      <c r="J143">
        <v>0</v>
      </c>
      <c r="K143">
        <v>5</v>
      </c>
      <c r="L143" s="11">
        <v>-0.13513500000000001</v>
      </c>
      <c r="M143" t="s">
        <v>594</v>
      </c>
      <c r="N143" s="12">
        <v>0</v>
      </c>
      <c r="O143" s="12">
        <v>2</v>
      </c>
      <c r="P143" s="12">
        <v>2</v>
      </c>
      <c r="Q143" s="12">
        <v>0</v>
      </c>
      <c r="R143" s="12">
        <v>1</v>
      </c>
      <c r="S143" s="12">
        <v>2</v>
      </c>
      <c r="T143" s="1" t="s">
        <v>595</v>
      </c>
      <c r="U143" s="1" t="s">
        <v>596</v>
      </c>
      <c r="V143">
        <v>20260719</v>
      </c>
      <c r="W143">
        <v>46222.653275462966</v>
      </c>
    </row>
    <row r="144" spans="1:23" ht="45">
      <c r="A144" t="s">
        <v>316</v>
      </c>
      <c r="B144" t="s">
        <v>265</v>
      </c>
      <c r="C144" t="s">
        <v>17</v>
      </c>
      <c r="D144" t="s">
        <v>45</v>
      </c>
      <c r="E144" t="s">
        <v>250</v>
      </c>
      <c r="F144" s="1" t="s">
        <v>266</v>
      </c>
      <c r="G144" s="1" t="s">
        <v>267</v>
      </c>
      <c r="H144" s="1" t="s">
        <v>317</v>
      </c>
      <c r="I144">
        <v>37</v>
      </c>
      <c r="J144">
        <v>0</v>
      </c>
      <c r="K144">
        <v>5</v>
      </c>
      <c r="L144" s="11">
        <v>-0.13513500000000001</v>
      </c>
      <c r="M144" t="s">
        <v>597</v>
      </c>
      <c r="N144" s="12">
        <v>0</v>
      </c>
      <c r="O144" s="12">
        <v>3</v>
      </c>
      <c r="P144" s="12">
        <v>2</v>
      </c>
      <c r="Q144" s="12">
        <v>1</v>
      </c>
      <c r="R144" s="12">
        <v>1</v>
      </c>
      <c r="S144" s="12">
        <v>2</v>
      </c>
      <c r="T144" s="1" t="s">
        <v>595</v>
      </c>
      <c r="U144" s="1" t="s">
        <v>596</v>
      </c>
      <c r="V144">
        <v>20260719</v>
      </c>
      <c r="W144">
        <v>46222.653275462966</v>
      </c>
    </row>
    <row r="145" spans="1:23" ht="45">
      <c r="A145" t="s">
        <v>316</v>
      </c>
      <c r="B145" t="s">
        <v>265</v>
      </c>
      <c r="C145" t="s">
        <v>17</v>
      </c>
      <c r="D145" t="s">
        <v>45</v>
      </c>
      <c r="E145" t="s">
        <v>250</v>
      </c>
      <c r="F145" s="1" t="s">
        <v>266</v>
      </c>
      <c r="G145" s="1" t="s">
        <v>267</v>
      </c>
      <c r="H145" s="1" t="s">
        <v>317</v>
      </c>
      <c r="I145">
        <v>37</v>
      </c>
      <c r="J145">
        <v>0</v>
      </c>
      <c r="K145">
        <v>5</v>
      </c>
      <c r="L145" s="11">
        <v>-0.13513500000000001</v>
      </c>
      <c r="M145" t="s">
        <v>598</v>
      </c>
      <c r="N145" s="12">
        <v>1</v>
      </c>
      <c r="O145" s="12">
        <v>3</v>
      </c>
      <c r="P145" s="12">
        <v>2</v>
      </c>
      <c r="Q145" s="12">
        <v>0</v>
      </c>
      <c r="R145" s="12">
        <v>1</v>
      </c>
      <c r="S145" s="12">
        <v>2</v>
      </c>
      <c r="T145" s="1" t="s">
        <v>595</v>
      </c>
      <c r="U145" s="1" t="s">
        <v>596</v>
      </c>
      <c r="V145">
        <v>20260719</v>
      </c>
      <c r="W145">
        <v>46222.653275462966</v>
      </c>
    </row>
    <row r="146" spans="1:23" ht="45">
      <c r="A146" t="s">
        <v>318</v>
      </c>
      <c r="B146" t="s">
        <v>142</v>
      </c>
      <c r="C146" t="s">
        <v>18</v>
      </c>
      <c r="D146" t="s">
        <v>47</v>
      </c>
      <c r="E146" t="s">
        <v>143</v>
      </c>
      <c r="F146" s="1" t="s">
        <v>144</v>
      </c>
      <c r="G146" s="1" t="s">
        <v>145</v>
      </c>
      <c r="H146" s="1" t="s">
        <v>319</v>
      </c>
      <c r="I146">
        <v>39</v>
      </c>
      <c r="J146">
        <v>0</v>
      </c>
      <c r="K146">
        <v>5</v>
      </c>
      <c r="L146" s="11">
        <v>-0.12820500000000001</v>
      </c>
      <c r="M146" t="s">
        <v>594</v>
      </c>
      <c r="N146" s="12">
        <v>0</v>
      </c>
      <c r="O146" s="12">
        <v>3</v>
      </c>
      <c r="P146" s="12">
        <v>3</v>
      </c>
      <c r="Q146" s="12">
        <v>0</v>
      </c>
      <c r="R146" s="12">
        <v>2</v>
      </c>
      <c r="S146" s="12">
        <v>2</v>
      </c>
      <c r="T146" s="1" t="s">
        <v>595</v>
      </c>
      <c r="U146" s="1" t="s">
        <v>596</v>
      </c>
      <c r="V146">
        <v>20260719</v>
      </c>
      <c r="W146">
        <v>46222.653275462966</v>
      </c>
    </row>
    <row r="147" spans="1:23" ht="45">
      <c r="A147" t="s">
        <v>318</v>
      </c>
      <c r="B147" t="s">
        <v>142</v>
      </c>
      <c r="C147" t="s">
        <v>18</v>
      </c>
      <c r="D147" t="s">
        <v>47</v>
      </c>
      <c r="E147" t="s">
        <v>143</v>
      </c>
      <c r="F147" s="1" t="s">
        <v>144</v>
      </c>
      <c r="G147" s="1" t="s">
        <v>145</v>
      </c>
      <c r="H147" s="1" t="s">
        <v>319</v>
      </c>
      <c r="I147">
        <v>39</v>
      </c>
      <c r="J147">
        <v>0</v>
      </c>
      <c r="K147">
        <v>5</v>
      </c>
      <c r="L147" s="11">
        <v>-0.12820500000000001</v>
      </c>
      <c r="M147" t="s">
        <v>597</v>
      </c>
      <c r="N147" s="12">
        <v>0</v>
      </c>
      <c r="O147" s="12">
        <v>3</v>
      </c>
      <c r="P147" s="12">
        <v>3</v>
      </c>
      <c r="Q147" s="12">
        <v>0</v>
      </c>
      <c r="R147" s="12">
        <v>2</v>
      </c>
      <c r="S147" s="12">
        <v>2</v>
      </c>
      <c r="T147" s="1" t="s">
        <v>595</v>
      </c>
      <c r="U147" s="1" t="s">
        <v>596</v>
      </c>
      <c r="V147">
        <v>20260719</v>
      </c>
      <c r="W147">
        <v>46222.653275462966</v>
      </c>
    </row>
    <row r="148" spans="1:23" ht="45">
      <c r="A148" t="s">
        <v>318</v>
      </c>
      <c r="B148" t="s">
        <v>142</v>
      </c>
      <c r="C148" t="s">
        <v>18</v>
      </c>
      <c r="D148" t="s">
        <v>47</v>
      </c>
      <c r="E148" t="s">
        <v>143</v>
      </c>
      <c r="F148" s="1" t="s">
        <v>144</v>
      </c>
      <c r="G148" s="1" t="s">
        <v>145</v>
      </c>
      <c r="H148" s="1" t="s">
        <v>319</v>
      </c>
      <c r="I148">
        <v>39</v>
      </c>
      <c r="J148">
        <v>0</v>
      </c>
      <c r="K148">
        <v>5</v>
      </c>
      <c r="L148" s="11">
        <v>-0.12820500000000001</v>
      </c>
      <c r="M148" t="s">
        <v>598</v>
      </c>
      <c r="N148" s="12">
        <v>0</v>
      </c>
      <c r="O148" s="12">
        <v>3</v>
      </c>
      <c r="P148" s="12">
        <v>3</v>
      </c>
      <c r="Q148" s="12">
        <v>0</v>
      </c>
      <c r="R148" s="12">
        <v>2</v>
      </c>
      <c r="S148" s="12">
        <v>3</v>
      </c>
      <c r="T148" s="1" t="s">
        <v>595</v>
      </c>
      <c r="U148" s="1" t="s">
        <v>596</v>
      </c>
      <c r="V148">
        <v>20260719</v>
      </c>
      <c r="W148">
        <v>46222.653275462966</v>
      </c>
    </row>
    <row r="149" spans="1:23" ht="45">
      <c r="A149" t="s">
        <v>321</v>
      </c>
      <c r="B149" t="s">
        <v>149</v>
      </c>
      <c r="C149" t="s">
        <v>18</v>
      </c>
      <c r="D149" t="s">
        <v>47</v>
      </c>
      <c r="E149" t="s">
        <v>143</v>
      </c>
      <c r="F149" s="1" t="s">
        <v>150</v>
      </c>
      <c r="G149" s="1" t="s">
        <v>151</v>
      </c>
      <c r="H149" s="1" t="s">
        <v>322</v>
      </c>
      <c r="I149">
        <v>39</v>
      </c>
      <c r="J149">
        <v>0</v>
      </c>
      <c r="K149">
        <v>5</v>
      </c>
      <c r="L149" s="11">
        <v>-0.12820500000000001</v>
      </c>
      <c r="M149" t="s">
        <v>594</v>
      </c>
      <c r="N149" s="12">
        <v>0</v>
      </c>
      <c r="O149" s="12">
        <v>3</v>
      </c>
      <c r="P149" s="12">
        <v>3</v>
      </c>
      <c r="Q149" s="12">
        <v>0</v>
      </c>
      <c r="R149" s="12">
        <v>2</v>
      </c>
      <c r="S149" s="12">
        <v>2</v>
      </c>
      <c r="T149" s="1" t="s">
        <v>595</v>
      </c>
      <c r="U149" s="1" t="s">
        <v>596</v>
      </c>
      <c r="V149">
        <v>20260719</v>
      </c>
      <c r="W149">
        <v>46222.653275462966</v>
      </c>
    </row>
    <row r="150" spans="1:23" ht="45">
      <c r="A150" t="s">
        <v>321</v>
      </c>
      <c r="B150" t="s">
        <v>149</v>
      </c>
      <c r="C150" t="s">
        <v>18</v>
      </c>
      <c r="D150" t="s">
        <v>47</v>
      </c>
      <c r="E150" t="s">
        <v>143</v>
      </c>
      <c r="F150" s="1" t="s">
        <v>150</v>
      </c>
      <c r="G150" s="1" t="s">
        <v>151</v>
      </c>
      <c r="H150" s="1" t="s">
        <v>322</v>
      </c>
      <c r="I150">
        <v>39</v>
      </c>
      <c r="J150">
        <v>0</v>
      </c>
      <c r="K150">
        <v>5</v>
      </c>
      <c r="L150" s="11">
        <v>-0.12820500000000001</v>
      </c>
      <c r="M150" t="s">
        <v>597</v>
      </c>
      <c r="N150" s="12">
        <v>0</v>
      </c>
      <c r="O150" s="12">
        <v>2</v>
      </c>
      <c r="P150" s="12">
        <v>3</v>
      </c>
      <c r="Q150" s="12">
        <v>0</v>
      </c>
      <c r="R150" s="12">
        <v>2</v>
      </c>
      <c r="S150" s="12">
        <v>2</v>
      </c>
      <c r="T150" s="1" t="s">
        <v>595</v>
      </c>
      <c r="U150" s="1" t="s">
        <v>596</v>
      </c>
      <c r="V150">
        <v>20260719</v>
      </c>
      <c r="W150">
        <v>46222.653275462966</v>
      </c>
    </row>
    <row r="151" spans="1:23" ht="45">
      <c r="A151" t="s">
        <v>321</v>
      </c>
      <c r="B151" t="s">
        <v>149</v>
      </c>
      <c r="C151" t="s">
        <v>18</v>
      </c>
      <c r="D151" t="s">
        <v>47</v>
      </c>
      <c r="E151" t="s">
        <v>143</v>
      </c>
      <c r="F151" s="1" t="s">
        <v>150</v>
      </c>
      <c r="G151" s="1" t="s">
        <v>151</v>
      </c>
      <c r="H151" s="1" t="s">
        <v>322</v>
      </c>
      <c r="I151">
        <v>39</v>
      </c>
      <c r="J151">
        <v>0</v>
      </c>
      <c r="K151">
        <v>5</v>
      </c>
      <c r="L151" s="11">
        <v>-0.12820500000000001</v>
      </c>
      <c r="M151" t="s">
        <v>598</v>
      </c>
      <c r="N151" s="12">
        <v>0</v>
      </c>
      <c r="O151" s="12">
        <v>3</v>
      </c>
      <c r="P151" s="12">
        <v>3</v>
      </c>
      <c r="Q151" s="12">
        <v>0</v>
      </c>
      <c r="R151" s="12">
        <v>2</v>
      </c>
      <c r="S151" s="12">
        <v>2</v>
      </c>
      <c r="T151" s="1" t="s">
        <v>595</v>
      </c>
      <c r="U151" s="1" t="s">
        <v>596</v>
      </c>
      <c r="V151">
        <v>20260719</v>
      </c>
      <c r="W151">
        <v>46222.653275462966</v>
      </c>
    </row>
    <row r="152" spans="1:23" ht="45">
      <c r="A152" t="s">
        <v>323</v>
      </c>
      <c r="B152" t="s">
        <v>154</v>
      </c>
      <c r="C152" t="s">
        <v>18</v>
      </c>
      <c r="D152" t="s">
        <v>47</v>
      </c>
      <c r="E152" t="s">
        <v>143</v>
      </c>
      <c r="F152" s="1" t="s">
        <v>155</v>
      </c>
      <c r="G152" s="1" t="s">
        <v>156</v>
      </c>
      <c r="H152" s="1" t="s">
        <v>324</v>
      </c>
      <c r="I152">
        <v>37</v>
      </c>
      <c r="J152">
        <v>0</v>
      </c>
      <c r="K152">
        <v>5</v>
      </c>
      <c r="L152" s="11">
        <v>-0.13513500000000001</v>
      </c>
      <c r="M152" t="s">
        <v>594</v>
      </c>
      <c r="N152" s="12">
        <v>0</v>
      </c>
      <c r="O152" s="12">
        <v>2</v>
      </c>
      <c r="P152" s="12">
        <v>3</v>
      </c>
      <c r="Q152" s="12">
        <v>0</v>
      </c>
      <c r="R152" s="12">
        <v>2</v>
      </c>
      <c r="S152" s="12">
        <v>1</v>
      </c>
      <c r="T152" s="1" t="s">
        <v>595</v>
      </c>
      <c r="U152" s="1" t="s">
        <v>596</v>
      </c>
      <c r="V152">
        <v>20260719</v>
      </c>
      <c r="W152">
        <v>46222.653275462966</v>
      </c>
    </row>
    <row r="153" spans="1:23" ht="45">
      <c r="A153" t="s">
        <v>323</v>
      </c>
      <c r="B153" t="s">
        <v>154</v>
      </c>
      <c r="C153" t="s">
        <v>18</v>
      </c>
      <c r="D153" t="s">
        <v>47</v>
      </c>
      <c r="E153" t="s">
        <v>143</v>
      </c>
      <c r="F153" s="1" t="s">
        <v>155</v>
      </c>
      <c r="G153" s="1" t="s">
        <v>156</v>
      </c>
      <c r="H153" s="1" t="s">
        <v>324</v>
      </c>
      <c r="I153">
        <v>37</v>
      </c>
      <c r="J153">
        <v>0</v>
      </c>
      <c r="K153">
        <v>5</v>
      </c>
      <c r="L153" s="11">
        <v>-0.13513500000000001</v>
      </c>
      <c r="M153" t="s">
        <v>597</v>
      </c>
      <c r="N153" s="12">
        <v>0</v>
      </c>
      <c r="O153" s="12">
        <v>3</v>
      </c>
      <c r="P153" s="12">
        <v>3</v>
      </c>
      <c r="Q153" s="12">
        <v>1</v>
      </c>
      <c r="R153" s="12">
        <v>2</v>
      </c>
      <c r="S153" s="12">
        <v>2</v>
      </c>
      <c r="T153" s="1" t="s">
        <v>595</v>
      </c>
      <c r="U153" s="1" t="s">
        <v>596</v>
      </c>
      <c r="V153">
        <v>20260719</v>
      </c>
      <c r="W153">
        <v>46222.653275462966</v>
      </c>
    </row>
    <row r="154" spans="1:23" ht="45">
      <c r="A154" t="s">
        <v>323</v>
      </c>
      <c r="B154" t="s">
        <v>154</v>
      </c>
      <c r="C154" t="s">
        <v>18</v>
      </c>
      <c r="D154" t="s">
        <v>47</v>
      </c>
      <c r="E154" t="s">
        <v>143</v>
      </c>
      <c r="F154" s="1" t="s">
        <v>155</v>
      </c>
      <c r="G154" s="1" t="s">
        <v>156</v>
      </c>
      <c r="H154" s="1" t="s">
        <v>324</v>
      </c>
      <c r="I154">
        <v>37</v>
      </c>
      <c r="J154">
        <v>0</v>
      </c>
      <c r="K154">
        <v>5</v>
      </c>
      <c r="L154" s="11">
        <v>-0.13513500000000001</v>
      </c>
      <c r="M154" t="s">
        <v>598</v>
      </c>
      <c r="N154" s="12">
        <v>0</v>
      </c>
      <c r="O154" s="12">
        <v>3</v>
      </c>
      <c r="P154" s="12">
        <v>3</v>
      </c>
      <c r="Q154" s="12">
        <v>0</v>
      </c>
      <c r="R154" s="12">
        <v>2</v>
      </c>
      <c r="S154" s="12">
        <v>2</v>
      </c>
      <c r="T154" s="1" t="s">
        <v>595</v>
      </c>
      <c r="U154" s="1" t="s">
        <v>596</v>
      </c>
      <c r="V154">
        <v>20260719</v>
      </c>
      <c r="W154">
        <v>46222.653275462966</v>
      </c>
    </row>
    <row r="155" spans="1:23" ht="45">
      <c r="A155" t="s">
        <v>325</v>
      </c>
      <c r="B155" t="s">
        <v>160</v>
      </c>
      <c r="C155" t="s">
        <v>18</v>
      </c>
      <c r="D155" t="s">
        <v>47</v>
      </c>
      <c r="E155" t="s">
        <v>143</v>
      </c>
      <c r="F155" s="1" t="s">
        <v>161</v>
      </c>
      <c r="G155" s="1" t="s">
        <v>162</v>
      </c>
      <c r="H155" s="1" t="s">
        <v>326</v>
      </c>
      <c r="I155">
        <v>38</v>
      </c>
      <c r="J155">
        <v>0</v>
      </c>
      <c r="K155">
        <v>5</v>
      </c>
      <c r="L155" s="11">
        <v>-0.131579</v>
      </c>
      <c r="M155" t="s">
        <v>594</v>
      </c>
      <c r="N155" s="12">
        <v>0</v>
      </c>
      <c r="O155" s="12">
        <v>2</v>
      </c>
      <c r="P155" s="12">
        <v>2</v>
      </c>
      <c r="Q155" s="12">
        <v>0</v>
      </c>
      <c r="R155" s="12">
        <v>1</v>
      </c>
      <c r="S155" s="12">
        <v>1</v>
      </c>
      <c r="T155" s="1" t="s">
        <v>595</v>
      </c>
      <c r="U155" s="1" t="s">
        <v>596</v>
      </c>
      <c r="V155">
        <v>20260719</v>
      </c>
      <c r="W155">
        <v>46222.653275462966</v>
      </c>
    </row>
    <row r="156" spans="1:23" ht="45">
      <c r="A156" t="s">
        <v>325</v>
      </c>
      <c r="B156" t="s">
        <v>160</v>
      </c>
      <c r="C156" t="s">
        <v>18</v>
      </c>
      <c r="D156" t="s">
        <v>47</v>
      </c>
      <c r="E156" t="s">
        <v>143</v>
      </c>
      <c r="F156" s="1" t="s">
        <v>161</v>
      </c>
      <c r="G156" s="1" t="s">
        <v>162</v>
      </c>
      <c r="H156" s="1" t="s">
        <v>326</v>
      </c>
      <c r="I156">
        <v>38</v>
      </c>
      <c r="J156">
        <v>0</v>
      </c>
      <c r="K156">
        <v>5</v>
      </c>
      <c r="L156" s="11">
        <v>-0.131579</v>
      </c>
      <c r="M156" t="s">
        <v>597</v>
      </c>
      <c r="N156" s="12">
        <v>0</v>
      </c>
      <c r="O156" s="12">
        <v>2</v>
      </c>
      <c r="P156" s="12">
        <v>2</v>
      </c>
      <c r="Q156" s="12">
        <v>0</v>
      </c>
      <c r="R156" s="12">
        <v>1</v>
      </c>
      <c r="S156" s="12">
        <v>1</v>
      </c>
      <c r="T156" s="1" t="s">
        <v>595</v>
      </c>
      <c r="U156" s="1" t="s">
        <v>596</v>
      </c>
      <c r="V156">
        <v>20260719</v>
      </c>
      <c r="W156">
        <v>46222.653275462966</v>
      </c>
    </row>
    <row r="157" spans="1:23" ht="45">
      <c r="A157" t="s">
        <v>325</v>
      </c>
      <c r="B157" t="s">
        <v>160</v>
      </c>
      <c r="C157" t="s">
        <v>18</v>
      </c>
      <c r="D157" t="s">
        <v>47</v>
      </c>
      <c r="E157" t="s">
        <v>143</v>
      </c>
      <c r="F157" s="1" t="s">
        <v>161</v>
      </c>
      <c r="G157" s="1" t="s">
        <v>162</v>
      </c>
      <c r="H157" s="1" t="s">
        <v>326</v>
      </c>
      <c r="I157">
        <v>38</v>
      </c>
      <c r="J157">
        <v>0</v>
      </c>
      <c r="K157">
        <v>5</v>
      </c>
      <c r="L157" s="11">
        <v>-0.131579</v>
      </c>
      <c r="M157" t="s">
        <v>598</v>
      </c>
      <c r="N157" s="12">
        <v>0</v>
      </c>
      <c r="O157" s="12">
        <v>3</v>
      </c>
      <c r="P157" s="12">
        <v>2</v>
      </c>
      <c r="Q157" s="12">
        <v>0</v>
      </c>
      <c r="R157" s="12">
        <v>2</v>
      </c>
      <c r="S157" s="12">
        <v>1</v>
      </c>
      <c r="T157" s="1" t="s">
        <v>595</v>
      </c>
      <c r="U157" s="1" t="s">
        <v>596</v>
      </c>
      <c r="V157">
        <v>20260719</v>
      </c>
      <c r="W157">
        <v>46222.653275462966</v>
      </c>
    </row>
    <row r="158" spans="1:23" ht="45">
      <c r="A158" t="s">
        <v>327</v>
      </c>
      <c r="B158" t="s">
        <v>165</v>
      </c>
      <c r="C158" t="s">
        <v>18</v>
      </c>
      <c r="D158" t="s">
        <v>47</v>
      </c>
      <c r="E158" t="s">
        <v>166</v>
      </c>
      <c r="F158" s="1" t="s">
        <v>167</v>
      </c>
      <c r="G158" s="1" t="s">
        <v>168</v>
      </c>
      <c r="H158" s="1" t="s">
        <v>328</v>
      </c>
      <c r="I158">
        <v>40</v>
      </c>
      <c r="J158">
        <v>0</v>
      </c>
      <c r="K158">
        <v>5</v>
      </c>
      <c r="L158" s="11">
        <v>-0.125</v>
      </c>
      <c r="M158" t="s">
        <v>594</v>
      </c>
      <c r="N158" s="12">
        <v>1</v>
      </c>
      <c r="O158" s="12">
        <v>3</v>
      </c>
      <c r="P158" s="12">
        <v>2</v>
      </c>
      <c r="Q158" s="12">
        <v>1</v>
      </c>
      <c r="R158" s="12">
        <v>2</v>
      </c>
      <c r="S158" s="12">
        <v>2</v>
      </c>
      <c r="T158" s="1" t="s">
        <v>595</v>
      </c>
      <c r="U158" s="1" t="s">
        <v>596</v>
      </c>
      <c r="V158">
        <v>20260719</v>
      </c>
      <c r="W158">
        <v>46222.653275462966</v>
      </c>
    </row>
    <row r="159" spans="1:23" ht="45">
      <c r="A159" t="s">
        <v>327</v>
      </c>
      <c r="B159" t="s">
        <v>165</v>
      </c>
      <c r="C159" t="s">
        <v>18</v>
      </c>
      <c r="D159" t="s">
        <v>47</v>
      </c>
      <c r="E159" t="s">
        <v>166</v>
      </c>
      <c r="F159" s="1" t="s">
        <v>167</v>
      </c>
      <c r="G159" s="1" t="s">
        <v>168</v>
      </c>
      <c r="H159" s="1" t="s">
        <v>328</v>
      </c>
      <c r="I159">
        <v>40</v>
      </c>
      <c r="J159">
        <v>0</v>
      </c>
      <c r="K159">
        <v>5</v>
      </c>
      <c r="L159" s="11">
        <v>-0.125</v>
      </c>
      <c r="M159" t="s">
        <v>597</v>
      </c>
      <c r="N159" s="12">
        <v>1</v>
      </c>
      <c r="O159" s="12">
        <v>3</v>
      </c>
      <c r="P159" s="12">
        <v>3</v>
      </c>
      <c r="Q159" s="12">
        <v>1</v>
      </c>
      <c r="R159" s="12">
        <v>1</v>
      </c>
      <c r="S159" s="12">
        <v>3</v>
      </c>
      <c r="T159" s="1" t="s">
        <v>595</v>
      </c>
      <c r="U159" s="1" t="s">
        <v>596</v>
      </c>
      <c r="V159">
        <v>20260719</v>
      </c>
      <c r="W159">
        <v>46222.653275462966</v>
      </c>
    </row>
    <row r="160" spans="1:23" ht="45">
      <c r="A160" t="s">
        <v>327</v>
      </c>
      <c r="B160" t="s">
        <v>165</v>
      </c>
      <c r="C160" t="s">
        <v>18</v>
      </c>
      <c r="D160" t="s">
        <v>47</v>
      </c>
      <c r="E160" t="s">
        <v>166</v>
      </c>
      <c r="F160" s="1" t="s">
        <v>167</v>
      </c>
      <c r="G160" s="1" t="s">
        <v>168</v>
      </c>
      <c r="H160" s="1" t="s">
        <v>328</v>
      </c>
      <c r="I160">
        <v>40</v>
      </c>
      <c r="J160">
        <v>0</v>
      </c>
      <c r="K160">
        <v>5</v>
      </c>
      <c r="L160" s="11">
        <v>-0.125</v>
      </c>
      <c r="M160" t="s">
        <v>598</v>
      </c>
      <c r="N160" s="12">
        <v>1</v>
      </c>
      <c r="O160" s="12">
        <v>3</v>
      </c>
      <c r="P160" s="12">
        <v>3</v>
      </c>
      <c r="Q160" s="12">
        <v>1</v>
      </c>
      <c r="R160" s="12">
        <v>2</v>
      </c>
      <c r="S160" s="12">
        <v>2</v>
      </c>
      <c r="T160" s="1" t="s">
        <v>595</v>
      </c>
      <c r="U160" s="1" t="s">
        <v>596</v>
      </c>
      <c r="V160">
        <v>20260719</v>
      </c>
      <c r="W160">
        <v>46222.653275462966</v>
      </c>
    </row>
    <row r="161" spans="1:23" ht="45">
      <c r="A161" t="s">
        <v>329</v>
      </c>
      <c r="B161" t="s">
        <v>171</v>
      </c>
      <c r="C161" t="s">
        <v>18</v>
      </c>
      <c r="D161" t="s">
        <v>47</v>
      </c>
      <c r="E161" t="s">
        <v>166</v>
      </c>
      <c r="F161" s="1" t="s">
        <v>172</v>
      </c>
      <c r="G161" s="1" t="s">
        <v>173</v>
      </c>
      <c r="H161" s="1" t="s">
        <v>330</v>
      </c>
      <c r="I161">
        <v>39</v>
      </c>
      <c r="J161">
        <v>0</v>
      </c>
      <c r="K161">
        <v>5</v>
      </c>
      <c r="L161" s="11">
        <v>-0.12820500000000001</v>
      </c>
      <c r="M161" t="s">
        <v>594</v>
      </c>
      <c r="N161" s="12">
        <v>0</v>
      </c>
      <c r="O161" s="12">
        <v>3</v>
      </c>
      <c r="P161" s="12">
        <v>3</v>
      </c>
      <c r="Q161" s="12">
        <v>0</v>
      </c>
      <c r="R161" s="12">
        <v>2</v>
      </c>
      <c r="S161" s="12">
        <v>3</v>
      </c>
      <c r="T161" s="1" t="s">
        <v>595</v>
      </c>
      <c r="U161" s="1" t="s">
        <v>596</v>
      </c>
      <c r="V161">
        <v>20260719</v>
      </c>
      <c r="W161">
        <v>46222.653275462966</v>
      </c>
    </row>
    <row r="162" spans="1:23" ht="45">
      <c r="A162" t="s">
        <v>329</v>
      </c>
      <c r="B162" t="s">
        <v>171</v>
      </c>
      <c r="C162" t="s">
        <v>18</v>
      </c>
      <c r="D162" t="s">
        <v>47</v>
      </c>
      <c r="E162" t="s">
        <v>166</v>
      </c>
      <c r="F162" s="1" t="s">
        <v>172</v>
      </c>
      <c r="G162" s="1" t="s">
        <v>173</v>
      </c>
      <c r="H162" s="1" t="s">
        <v>330</v>
      </c>
      <c r="I162">
        <v>39</v>
      </c>
      <c r="J162">
        <v>0</v>
      </c>
      <c r="K162">
        <v>5</v>
      </c>
      <c r="L162" s="11">
        <v>-0.12820500000000001</v>
      </c>
      <c r="M162" t="s">
        <v>597</v>
      </c>
      <c r="N162" s="12">
        <v>0</v>
      </c>
      <c r="O162" s="12">
        <v>3</v>
      </c>
      <c r="P162" s="12">
        <v>3</v>
      </c>
      <c r="Q162" s="12">
        <v>0</v>
      </c>
      <c r="R162" s="12">
        <v>2</v>
      </c>
      <c r="S162" s="12">
        <v>3</v>
      </c>
      <c r="T162" s="1" t="s">
        <v>595</v>
      </c>
      <c r="U162" s="1" t="s">
        <v>596</v>
      </c>
      <c r="V162">
        <v>20260719</v>
      </c>
      <c r="W162">
        <v>46222.653275462966</v>
      </c>
    </row>
    <row r="163" spans="1:23" ht="45">
      <c r="A163" t="s">
        <v>329</v>
      </c>
      <c r="B163" t="s">
        <v>171</v>
      </c>
      <c r="C163" t="s">
        <v>18</v>
      </c>
      <c r="D163" t="s">
        <v>47</v>
      </c>
      <c r="E163" t="s">
        <v>166</v>
      </c>
      <c r="F163" s="1" t="s">
        <v>172</v>
      </c>
      <c r="G163" s="1" t="s">
        <v>173</v>
      </c>
      <c r="H163" s="1" t="s">
        <v>330</v>
      </c>
      <c r="I163">
        <v>39</v>
      </c>
      <c r="J163">
        <v>0</v>
      </c>
      <c r="K163">
        <v>5</v>
      </c>
      <c r="L163" s="11">
        <v>-0.12820500000000001</v>
      </c>
      <c r="M163" t="s">
        <v>598</v>
      </c>
      <c r="N163" s="12">
        <v>0</v>
      </c>
      <c r="O163" s="12">
        <v>3</v>
      </c>
      <c r="P163" s="12">
        <v>3</v>
      </c>
      <c r="Q163" s="12">
        <v>0</v>
      </c>
      <c r="R163" s="12">
        <v>2</v>
      </c>
      <c r="S163" s="12">
        <v>3</v>
      </c>
      <c r="T163" s="1" t="s">
        <v>595</v>
      </c>
      <c r="U163" s="1" t="s">
        <v>596</v>
      </c>
      <c r="V163">
        <v>20260719</v>
      </c>
      <c r="W163">
        <v>46222.653275462966</v>
      </c>
    </row>
    <row r="164" spans="1:23" ht="45">
      <c r="A164" t="s">
        <v>331</v>
      </c>
      <c r="B164" t="s">
        <v>176</v>
      </c>
      <c r="C164" t="s">
        <v>18</v>
      </c>
      <c r="D164" t="s">
        <v>47</v>
      </c>
      <c r="E164" t="s">
        <v>166</v>
      </c>
      <c r="F164" s="1" t="s">
        <v>177</v>
      </c>
      <c r="G164" s="1" t="s">
        <v>178</v>
      </c>
      <c r="H164" s="1" t="s">
        <v>332</v>
      </c>
      <c r="I164">
        <v>38</v>
      </c>
      <c r="J164">
        <v>0</v>
      </c>
      <c r="K164">
        <v>4</v>
      </c>
      <c r="L164" s="11">
        <v>-0.105263</v>
      </c>
      <c r="M164" t="s">
        <v>594</v>
      </c>
      <c r="N164" s="12">
        <v>1</v>
      </c>
      <c r="O164" s="12">
        <v>3</v>
      </c>
      <c r="P164" s="12">
        <v>3</v>
      </c>
      <c r="Q164" s="12">
        <v>1</v>
      </c>
      <c r="R164" s="12">
        <v>2</v>
      </c>
      <c r="S164" s="12">
        <v>2</v>
      </c>
      <c r="T164" s="1" t="s">
        <v>595</v>
      </c>
      <c r="U164" s="1" t="s">
        <v>596</v>
      </c>
      <c r="V164">
        <v>20260719</v>
      </c>
      <c r="W164">
        <v>46222.653275462966</v>
      </c>
    </row>
    <row r="165" spans="1:23" ht="45">
      <c r="A165" t="s">
        <v>331</v>
      </c>
      <c r="B165" t="s">
        <v>176</v>
      </c>
      <c r="C165" t="s">
        <v>18</v>
      </c>
      <c r="D165" t="s">
        <v>47</v>
      </c>
      <c r="E165" t="s">
        <v>166</v>
      </c>
      <c r="F165" s="1" t="s">
        <v>177</v>
      </c>
      <c r="G165" s="1" t="s">
        <v>178</v>
      </c>
      <c r="H165" s="1" t="s">
        <v>332</v>
      </c>
      <c r="I165">
        <v>38</v>
      </c>
      <c r="J165">
        <v>0</v>
      </c>
      <c r="K165">
        <v>4</v>
      </c>
      <c r="L165" s="11">
        <v>-0.105263</v>
      </c>
      <c r="M165" t="s">
        <v>597</v>
      </c>
      <c r="N165" s="12">
        <v>1</v>
      </c>
      <c r="O165" s="12">
        <v>3</v>
      </c>
      <c r="P165" s="12">
        <v>3</v>
      </c>
      <c r="Q165" s="12">
        <v>1</v>
      </c>
      <c r="R165" s="12">
        <v>2</v>
      </c>
      <c r="S165" s="12">
        <v>2</v>
      </c>
      <c r="T165" s="1" t="s">
        <v>595</v>
      </c>
      <c r="U165" s="1" t="s">
        <v>596</v>
      </c>
      <c r="V165">
        <v>20260719</v>
      </c>
      <c r="W165">
        <v>46222.653275462966</v>
      </c>
    </row>
    <row r="166" spans="1:23" ht="45">
      <c r="A166" t="s">
        <v>331</v>
      </c>
      <c r="B166" t="s">
        <v>176</v>
      </c>
      <c r="C166" t="s">
        <v>18</v>
      </c>
      <c r="D166" t="s">
        <v>47</v>
      </c>
      <c r="E166" t="s">
        <v>166</v>
      </c>
      <c r="F166" s="1" t="s">
        <v>177</v>
      </c>
      <c r="G166" s="1" t="s">
        <v>178</v>
      </c>
      <c r="H166" s="1" t="s">
        <v>332</v>
      </c>
      <c r="I166">
        <v>38</v>
      </c>
      <c r="J166">
        <v>0</v>
      </c>
      <c r="K166">
        <v>4</v>
      </c>
      <c r="L166" s="11">
        <v>-0.105263</v>
      </c>
      <c r="M166" t="s">
        <v>598</v>
      </c>
      <c r="N166" s="12">
        <v>1</v>
      </c>
      <c r="O166" s="12">
        <v>3</v>
      </c>
      <c r="P166" s="12">
        <v>3</v>
      </c>
      <c r="Q166" s="12">
        <v>1</v>
      </c>
      <c r="R166" s="12">
        <v>2</v>
      </c>
      <c r="S166" s="12">
        <v>2</v>
      </c>
      <c r="T166" s="1" t="s">
        <v>595</v>
      </c>
      <c r="U166" s="1" t="s">
        <v>596</v>
      </c>
      <c r="V166">
        <v>20260719</v>
      </c>
      <c r="W166">
        <v>46222.653275462966</v>
      </c>
    </row>
    <row r="167" spans="1:23" ht="45">
      <c r="A167" t="s">
        <v>333</v>
      </c>
      <c r="B167" t="s">
        <v>181</v>
      </c>
      <c r="C167" t="s">
        <v>18</v>
      </c>
      <c r="D167" t="s">
        <v>47</v>
      </c>
      <c r="E167" t="s">
        <v>166</v>
      </c>
      <c r="F167" s="1" t="s">
        <v>182</v>
      </c>
      <c r="G167" s="1" t="s">
        <v>183</v>
      </c>
      <c r="H167" s="1" t="s">
        <v>334</v>
      </c>
      <c r="I167">
        <v>36</v>
      </c>
      <c r="J167">
        <v>0</v>
      </c>
      <c r="K167">
        <v>5</v>
      </c>
      <c r="L167" s="11">
        <v>-0.13888900000000001</v>
      </c>
      <c r="M167" t="s">
        <v>594</v>
      </c>
      <c r="N167" s="12">
        <v>0</v>
      </c>
      <c r="O167" s="12">
        <v>3</v>
      </c>
      <c r="P167" s="12">
        <v>3</v>
      </c>
      <c r="Q167" s="12">
        <v>0</v>
      </c>
      <c r="R167" s="12">
        <v>2</v>
      </c>
      <c r="S167" s="12">
        <v>2</v>
      </c>
      <c r="T167" s="1" t="s">
        <v>595</v>
      </c>
      <c r="U167" s="1" t="s">
        <v>596</v>
      </c>
      <c r="V167">
        <v>20260719</v>
      </c>
      <c r="W167">
        <v>46222.653275462966</v>
      </c>
    </row>
    <row r="168" spans="1:23" ht="45">
      <c r="A168" t="s">
        <v>333</v>
      </c>
      <c r="B168" t="s">
        <v>181</v>
      </c>
      <c r="C168" t="s">
        <v>18</v>
      </c>
      <c r="D168" t="s">
        <v>47</v>
      </c>
      <c r="E168" t="s">
        <v>166</v>
      </c>
      <c r="F168" s="1" t="s">
        <v>182</v>
      </c>
      <c r="G168" s="1" t="s">
        <v>183</v>
      </c>
      <c r="H168" s="1" t="s">
        <v>334</v>
      </c>
      <c r="I168">
        <v>36</v>
      </c>
      <c r="J168">
        <v>0</v>
      </c>
      <c r="K168">
        <v>5</v>
      </c>
      <c r="L168" s="11">
        <v>-0.13888900000000001</v>
      </c>
      <c r="M168" t="s">
        <v>597</v>
      </c>
      <c r="N168" s="12">
        <v>0</v>
      </c>
      <c r="O168" s="12">
        <v>3</v>
      </c>
      <c r="P168" s="12">
        <v>3</v>
      </c>
      <c r="Q168" s="12">
        <v>0</v>
      </c>
      <c r="R168" s="12">
        <v>2</v>
      </c>
      <c r="S168" s="12">
        <v>2</v>
      </c>
      <c r="T168" s="1" t="s">
        <v>595</v>
      </c>
      <c r="U168" s="1" t="s">
        <v>596</v>
      </c>
      <c r="V168">
        <v>20260719</v>
      </c>
      <c r="W168">
        <v>46222.653275462966</v>
      </c>
    </row>
    <row r="169" spans="1:23" ht="45">
      <c r="A169" t="s">
        <v>333</v>
      </c>
      <c r="B169" t="s">
        <v>181</v>
      </c>
      <c r="C169" t="s">
        <v>18</v>
      </c>
      <c r="D169" t="s">
        <v>47</v>
      </c>
      <c r="E169" t="s">
        <v>166</v>
      </c>
      <c r="F169" s="1" t="s">
        <v>182</v>
      </c>
      <c r="G169" s="1" t="s">
        <v>183</v>
      </c>
      <c r="H169" s="1" t="s">
        <v>334</v>
      </c>
      <c r="I169">
        <v>36</v>
      </c>
      <c r="J169">
        <v>0</v>
      </c>
      <c r="K169">
        <v>5</v>
      </c>
      <c r="L169" s="11">
        <v>-0.13888900000000001</v>
      </c>
      <c r="M169" t="s">
        <v>598</v>
      </c>
      <c r="N169" s="12">
        <v>0</v>
      </c>
      <c r="O169" s="12">
        <v>3</v>
      </c>
      <c r="P169" s="12">
        <v>3</v>
      </c>
      <c r="Q169" s="12">
        <v>0</v>
      </c>
      <c r="R169" s="12">
        <v>2</v>
      </c>
      <c r="S169" s="12">
        <v>2</v>
      </c>
      <c r="T169" s="1" t="s">
        <v>595</v>
      </c>
      <c r="U169" s="1" t="s">
        <v>596</v>
      </c>
      <c r="V169">
        <v>20260719</v>
      </c>
      <c r="W169">
        <v>46222.653275462966</v>
      </c>
    </row>
    <row r="170" spans="1:23" ht="45">
      <c r="A170" t="s">
        <v>335</v>
      </c>
      <c r="B170" t="s">
        <v>186</v>
      </c>
      <c r="C170" t="s">
        <v>18</v>
      </c>
      <c r="D170" t="s">
        <v>47</v>
      </c>
      <c r="E170" t="s">
        <v>187</v>
      </c>
      <c r="F170" s="1" t="s">
        <v>188</v>
      </c>
      <c r="G170" s="1" t="s">
        <v>189</v>
      </c>
      <c r="H170" s="1" t="s">
        <v>336</v>
      </c>
      <c r="I170">
        <v>42</v>
      </c>
      <c r="J170">
        <v>0</v>
      </c>
      <c r="K170">
        <v>5</v>
      </c>
      <c r="L170" s="11">
        <v>-0.119048</v>
      </c>
      <c r="M170" t="s">
        <v>594</v>
      </c>
      <c r="N170" s="12">
        <v>0</v>
      </c>
      <c r="O170" s="12">
        <v>2</v>
      </c>
      <c r="P170" s="12">
        <v>2</v>
      </c>
      <c r="Q170" s="12">
        <v>0</v>
      </c>
      <c r="R170" s="12">
        <v>1</v>
      </c>
      <c r="S170" s="12">
        <v>2</v>
      </c>
      <c r="T170" s="1" t="s">
        <v>595</v>
      </c>
      <c r="U170" s="1" t="s">
        <v>596</v>
      </c>
      <c r="V170">
        <v>20260719</v>
      </c>
      <c r="W170">
        <v>46222.653275462966</v>
      </c>
    </row>
    <row r="171" spans="1:23" ht="45">
      <c r="A171" t="s">
        <v>335</v>
      </c>
      <c r="B171" t="s">
        <v>186</v>
      </c>
      <c r="C171" t="s">
        <v>18</v>
      </c>
      <c r="D171" t="s">
        <v>47</v>
      </c>
      <c r="E171" t="s">
        <v>187</v>
      </c>
      <c r="F171" s="1" t="s">
        <v>188</v>
      </c>
      <c r="G171" s="1" t="s">
        <v>189</v>
      </c>
      <c r="H171" s="1" t="s">
        <v>336</v>
      </c>
      <c r="I171">
        <v>42</v>
      </c>
      <c r="J171">
        <v>0</v>
      </c>
      <c r="K171">
        <v>5</v>
      </c>
      <c r="L171" s="11">
        <v>-0.119048</v>
      </c>
      <c r="M171" t="s">
        <v>597</v>
      </c>
      <c r="N171" s="12">
        <v>0</v>
      </c>
      <c r="O171" s="12">
        <v>2</v>
      </c>
      <c r="P171" s="12">
        <v>3</v>
      </c>
      <c r="Q171" s="12">
        <v>1</v>
      </c>
      <c r="R171" s="12">
        <v>2</v>
      </c>
      <c r="S171" s="12">
        <v>2</v>
      </c>
      <c r="T171" s="1" t="s">
        <v>595</v>
      </c>
      <c r="U171" s="1" t="s">
        <v>596</v>
      </c>
      <c r="V171">
        <v>20260719</v>
      </c>
      <c r="W171">
        <v>46222.653275462966</v>
      </c>
    </row>
    <row r="172" spans="1:23" ht="45">
      <c r="A172" t="s">
        <v>335</v>
      </c>
      <c r="B172" t="s">
        <v>186</v>
      </c>
      <c r="C172" t="s">
        <v>18</v>
      </c>
      <c r="D172" t="s">
        <v>47</v>
      </c>
      <c r="E172" t="s">
        <v>187</v>
      </c>
      <c r="F172" s="1" t="s">
        <v>188</v>
      </c>
      <c r="G172" s="1" t="s">
        <v>189</v>
      </c>
      <c r="H172" s="1" t="s">
        <v>336</v>
      </c>
      <c r="I172">
        <v>42</v>
      </c>
      <c r="J172">
        <v>0</v>
      </c>
      <c r="K172">
        <v>5</v>
      </c>
      <c r="L172" s="11">
        <v>-0.119048</v>
      </c>
      <c r="M172" t="s">
        <v>598</v>
      </c>
      <c r="N172" s="12">
        <v>0</v>
      </c>
      <c r="O172" s="12">
        <v>3</v>
      </c>
      <c r="P172" s="12">
        <v>3</v>
      </c>
      <c r="Q172" s="12">
        <v>0</v>
      </c>
      <c r="R172" s="12">
        <v>2</v>
      </c>
      <c r="S172" s="12">
        <v>2</v>
      </c>
      <c r="T172" s="1" t="s">
        <v>595</v>
      </c>
      <c r="U172" s="1" t="s">
        <v>596</v>
      </c>
      <c r="V172">
        <v>20260719</v>
      </c>
      <c r="W172">
        <v>46222.653275462966</v>
      </c>
    </row>
    <row r="173" spans="1:23" ht="45">
      <c r="A173" t="s">
        <v>337</v>
      </c>
      <c r="B173" t="s">
        <v>192</v>
      </c>
      <c r="C173" t="s">
        <v>18</v>
      </c>
      <c r="D173" t="s">
        <v>47</v>
      </c>
      <c r="E173" t="s">
        <v>187</v>
      </c>
      <c r="F173" s="1" t="s">
        <v>193</v>
      </c>
      <c r="G173" s="1" t="s">
        <v>194</v>
      </c>
      <c r="H173" s="1" t="s">
        <v>338</v>
      </c>
      <c r="I173">
        <v>34</v>
      </c>
      <c r="J173">
        <v>0</v>
      </c>
      <c r="K173">
        <v>5</v>
      </c>
      <c r="L173" s="11">
        <v>-0.147059</v>
      </c>
      <c r="M173" t="s">
        <v>594</v>
      </c>
      <c r="N173" s="12">
        <v>0</v>
      </c>
      <c r="O173" s="12">
        <v>2</v>
      </c>
      <c r="P173" s="12">
        <v>2</v>
      </c>
      <c r="Q173" s="12">
        <v>0</v>
      </c>
      <c r="R173" s="12">
        <v>2</v>
      </c>
      <c r="S173" s="12">
        <v>2</v>
      </c>
      <c r="T173" s="1" t="s">
        <v>595</v>
      </c>
      <c r="U173" s="1" t="s">
        <v>596</v>
      </c>
      <c r="V173">
        <v>20260719</v>
      </c>
      <c r="W173">
        <v>46222.653275462966</v>
      </c>
    </row>
    <row r="174" spans="1:23" ht="45">
      <c r="A174" t="s">
        <v>337</v>
      </c>
      <c r="B174" t="s">
        <v>192</v>
      </c>
      <c r="C174" t="s">
        <v>18</v>
      </c>
      <c r="D174" t="s">
        <v>47</v>
      </c>
      <c r="E174" t="s">
        <v>187</v>
      </c>
      <c r="F174" s="1" t="s">
        <v>193</v>
      </c>
      <c r="G174" s="1" t="s">
        <v>194</v>
      </c>
      <c r="H174" s="1" t="s">
        <v>338</v>
      </c>
      <c r="I174">
        <v>34</v>
      </c>
      <c r="J174">
        <v>0</v>
      </c>
      <c r="K174">
        <v>5</v>
      </c>
      <c r="L174" s="11">
        <v>-0.147059</v>
      </c>
      <c r="M174" t="s">
        <v>597</v>
      </c>
      <c r="N174" s="12">
        <v>0</v>
      </c>
      <c r="O174" s="12">
        <v>2</v>
      </c>
      <c r="P174" s="12">
        <v>2</v>
      </c>
      <c r="Q174" s="12">
        <v>0</v>
      </c>
      <c r="R174" s="12">
        <v>1</v>
      </c>
      <c r="S174" s="12">
        <v>2</v>
      </c>
      <c r="T174" s="1" t="s">
        <v>595</v>
      </c>
      <c r="U174" s="1" t="s">
        <v>596</v>
      </c>
      <c r="V174">
        <v>20260719</v>
      </c>
      <c r="W174">
        <v>46222.653275462966</v>
      </c>
    </row>
    <row r="175" spans="1:23" ht="45">
      <c r="A175" t="s">
        <v>337</v>
      </c>
      <c r="B175" t="s">
        <v>192</v>
      </c>
      <c r="C175" t="s">
        <v>18</v>
      </c>
      <c r="D175" t="s">
        <v>47</v>
      </c>
      <c r="E175" t="s">
        <v>187</v>
      </c>
      <c r="F175" s="1" t="s">
        <v>193</v>
      </c>
      <c r="G175" s="1" t="s">
        <v>194</v>
      </c>
      <c r="H175" s="1" t="s">
        <v>338</v>
      </c>
      <c r="I175">
        <v>34</v>
      </c>
      <c r="J175">
        <v>0</v>
      </c>
      <c r="K175">
        <v>5</v>
      </c>
      <c r="L175" s="11">
        <v>-0.147059</v>
      </c>
      <c r="M175" t="s">
        <v>598</v>
      </c>
      <c r="N175" s="12">
        <v>0</v>
      </c>
      <c r="O175" s="12">
        <v>2</v>
      </c>
      <c r="P175" s="12">
        <v>2</v>
      </c>
      <c r="Q175" s="12">
        <v>1</v>
      </c>
      <c r="R175" s="12">
        <v>2</v>
      </c>
      <c r="S175" s="12">
        <v>2</v>
      </c>
      <c r="T175" s="1" t="s">
        <v>595</v>
      </c>
      <c r="U175" s="1" t="s">
        <v>596</v>
      </c>
      <c r="V175">
        <v>20260719</v>
      </c>
      <c r="W175">
        <v>46222.653275462966</v>
      </c>
    </row>
    <row r="176" spans="1:23" ht="45">
      <c r="A176" t="s">
        <v>339</v>
      </c>
      <c r="B176" t="s">
        <v>197</v>
      </c>
      <c r="C176" t="s">
        <v>18</v>
      </c>
      <c r="D176" t="s">
        <v>47</v>
      </c>
      <c r="E176" t="s">
        <v>187</v>
      </c>
      <c r="F176" s="1" t="s">
        <v>198</v>
      </c>
      <c r="G176" s="1" t="s">
        <v>199</v>
      </c>
      <c r="H176" s="1" t="s">
        <v>340</v>
      </c>
      <c r="I176">
        <v>41</v>
      </c>
      <c r="J176">
        <v>0</v>
      </c>
      <c r="K176">
        <v>5</v>
      </c>
      <c r="L176" s="11">
        <v>-0.121951</v>
      </c>
      <c r="M176" t="s">
        <v>594</v>
      </c>
      <c r="N176" s="12">
        <v>0</v>
      </c>
      <c r="O176" s="12">
        <v>3</v>
      </c>
      <c r="P176" s="12">
        <v>3</v>
      </c>
      <c r="Q176" s="12">
        <v>1</v>
      </c>
      <c r="R176" s="12">
        <v>2</v>
      </c>
      <c r="S176" s="12">
        <v>2</v>
      </c>
      <c r="T176" s="1" t="s">
        <v>595</v>
      </c>
      <c r="U176" s="1" t="s">
        <v>596</v>
      </c>
      <c r="V176">
        <v>20260719</v>
      </c>
      <c r="W176">
        <v>46222.653275462966</v>
      </c>
    </row>
    <row r="177" spans="1:23" ht="45">
      <c r="A177" t="s">
        <v>339</v>
      </c>
      <c r="B177" t="s">
        <v>197</v>
      </c>
      <c r="C177" t="s">
        <v>18</v>
      </c>
      <c r="D177" t="s">
        <v>47</v>
      </c>
      <c r="E177" t="s">
        <v>187</v>
      </c>
      <c r="F177" s="1" t="s">
        <v>198</v>
      </c>
      <c r="G177" s="1" t="s">
        <v>199</v>
      </c>
      <c r="H177" s="1" t="s">
        <v>340</v>
      </c>
      <c r="I177">
        <v>41</v>
      </c>
      <c r="J177">
        <v>0</v>
      </c>
      <c r="K177">
        <v>5</v>
      </c>
      <c r="L177" s="11">
        <v>-0.121951</v>
      </c>
      <c r="M177" t="s">
        <v>597</v>
      </c>
      <c r="N177" s="12">
        <v>1</v>
      </c>
      <c r="O177" s="12">
        <v>3</v>
      </c>
      <c r="P177" s="12">
        <v>3</v>
      </c>
      <c r="Q177" s="12">
        <v>1</v>
      </c>
      <c r="R177" s="12">
        <v>1</v>
      </c>
      <c r="S177" s="12">
        <v>2</v>
      </c>
      <c r="T177" s="1" t="s">
        <v>595</v>
      </c>
      <c r="U177" s="1" t="s">
        <v>596</v>
      </c>
      <c r="V177">
        <v>20260719</v>
      </c>
      <c r="W177">
        <v>46222.653275462966</v>
      </c>
    </row>
    <row r="178" spans="1:23" ht="45">
      <c r="A178" t="s">
        <v>339</v>
      </c>
      <c r="B178" t="s">
        <v>197</v>
      </c>
      <c r="C178" t="s">
        <v>18</v>
      </c>
      <c r="D178" t="s">
        <v>47</v>
      </c>
      <c r="E178" t="s">
        <v>187</v>
      </c>
      <c r="F178" s="1" t="s">
        <v>198</v>
      </c>
      <c r="G178" s="1" t="s">
        <v>199</v>
      </c>
      <c r="H178" s="1" t="s">
        <v>340</v>
      </c>
      <c r="I178">
        <v>41</v>
      </c>
      <c r="J178">
        <v>0</v>
      </c>
      <c r="K178">
        <v>5</v>
      </c>
      <c r="L178" s="11">
        <v>-0.121951</v>
      </c>
      <c r="M178" t="s">
        <v>598</v>
      </c>
      <c r="N178" s="12">
        <v>0</v>
      </c>
      <c r="O178" s="12">
        <v>3</v>
      </c>
      <c r="P178" s="12">
        <v>3</v>
      </c>
      <c r="Q178" s="12">
        <v>1</v>
      </c>
      <c r="R178" s="12">
        <v>2</v>
      </c>
      <c r="S178" s="12">
        <v>2</v>
      </c>
      <c r="T178" s="1" t="s">
        <v>595</v>
      </c>
      <c r="U178" s="1" t="s">
        <v>596</v>
      </c>
      <c r="V178">
        <v>20260719</v>
      </c>
      <c r="W178">
        <v>46222.653275462966</v>
      </c>
    </row>
    <row r="179" spans="1:23" ht="45">
      <c r="A179" t="s">
        <v>341</v>
      </c>
      <c r="B179" t="s">
        <v>202</v>
      </c>
      <c r="C179" t="s">
        <v>18</v>
      </c>
      <c r="D179" t="s">
        <v>47</v>
      </c>
      <c r="E179" t="s">
        <v>187</v>
      </c>
      <c r="F179" s="1" t="s">
        <v>203</v>
      </c>
      <c r="G179" s="1" t="s">
        <v>204</v>
      </c>
      <c r="H179" s="1" t="s">
        <v>342</v>
      </c>
      <c r="I179">
        <v>39</v>
      </c>
      <c r="J179">
        <v>0</v>
      </c>
      <c r="K179">
        <v>5</v>
      </c>
      <c r="L179" s="11">
        <v>-0.12820500000000001</v>
      </c>
      <c r="M179" t="s">
        <v>594</v>
      </c>
      <c r="N179" s="12">
        <v>1</v>
      </c>
      <c r="O179" s="12">
        <v>3</v>
      </c>
      <c r="P179" s="12">
        <v>3</v>
      </c>
      <c r="Q179" s="12">
        <v>1</v>
      </c>
      <c r="R179" s="12">
        <v>2</v>
      </c>
      <c r="S179" s="12">
        <v>2</v>
      </c>
      <c r="T179" s="1" t="s">
        <v>595</v>
      </c>
      <c r="U179" s="1" t="s">
        <v>596</v>
      </c>
      <c r="V179">
        <v>20260719</v>
      </c>
      <c r="W179">
        <v>46222.653275462966</v>
      </c>
    </row>
    <row r="180" spans="1:23" ht="45">
      <c r="A180" t="s">
        <v>341</v>
      </c>
      <c r="B180" t="s">
        <v>202</v>
      </c>
      <c r="C180" t="s">
        <v>18</v>
      </c>
      <c r="D180" t="s">
        <v>47</v>
      </c>
      <c r="E180" t="s">
        <v>187</v>
      </c>
      <c r="F180" s="1" t="s">
        <v>203</v>
      </c>
      <c r="G180" s="1" t="s">
        <v>204</v>
      </c>
      <c r="H180" s="1" t="s">
        <v>342</v>
      </c>
      <c r="I180">
        <v>39</v>
      </c>
      <c r="J180">
        <v>0</v>
      </c>
      <c r="K180">
        <v>5</v>
      </c>
      <c r="L180" s="11">
        <v>-0.12820500000000001</v>
      </c>
      <c r="M180" t="s">
        <v>597</v>
      </c>
      <c r="N180" s="12">
        <v>1</v>
      </c>
      <c r="O180" s="12">
        <v>3</v>
      </c>
      <c r="P180" s="12">
        <v>2</v>
      </c>
      <c r="Q180" s="12">
        <v>2</v>
      </c>
      <c r="R180" s="12">
        <v>2</v>
      </c>
      <c r="S180" s="12">
        <v>2</v>
      </c>
      <c r="T180" s="1" t="s">
        <v>595</v>
      </c>
      <c r="U180" s="1" t="s">
        <v>596</v>
      </c>
      <c r="V180">
        <v>20260719</v>
      </c>
      <c r="W180">
        <v>46222.653275462966</v>
      </c>
    </row>
    <row r="181" spans="1:23" ht="45">
      <c r="A181" t="s">
        <v>341</v>
      </c>
      <c r="B181" t="s">
        <v>202</v>
      </c>
      <c r="C181" t="s">
        <v>18</v>
      </c>
      <c r="D181" t="s">
        <v>47</v>
      </c>
      <c r="E181" t="s">
        <v>187</v>
      </c>
      <c r="F181" s="1" t="s">
        <v>203</v>
      </c>
      <c r="G181" s="1" t="s">
        <v>204</v>
      </c>
      <c r="H181" s="1" t="s">
        <v>342</v>
      </c>
      <c r="I181">
        <v>39</v>
      </c>
      <c r="J181">
        <v>0</v>
      </c>
      <c r="K181">
        <v>5</v>
      </c>
      <c r="L181" s="11">
        <v>-0.12820500000000001</v>
      </c>
      <c r="M181" t="s">
        <v>598</v>
      </c>
      <c r="N181" s="12">
        <v>1</v>
      </c>
      <c r="O181" s="12">
        <v>3</v>
      </c>
      <c r="P181" s="12">
        <v>3</v>
      </c>
      <c r="Q181" s="12">
        <v>1</v>
      </c>
      <c r="R181" s="12">
        <v>2</v>
      </c>
      <c r="S181" s="12">
        <v>2</v>
      </c>
      <c r="T181" s="1" t="s">
        <v>595</v>
      </c>
      <c r="U181" s="1" t="s">
        <v>596</v>
      </c>
      <c r="V181">
        <v>20260719</v>
      </c>
      <c r="W181">
        <v>46222.653275462966</v>
      </c>
    </row>
    <row r="182" spans="1:23" ht="45">
      <c r="A182" t="s">
        <v>343</v>
      </c>
      <c r="B182" t="s">
        <v>207</v>
      </c>
      <c r="C182" t="s">
        <v>18</v>
      </c>
      <c r="D182" t="s">
        <v>47</v>
      </c>
      <c r="E182" t="s">
        <v>208</v>
      </c>
      <c r="F182" s="1" t="s">
        <v>209</v>
      </c>
      <c r="G182" s="1" t="s">
        <v>210</v>
      </c>
      <c r="H182" s="1" t="s">
        <v>344</v>
      </c>
      <c r="I182">
        <v>40</v>
      </c>
      <c r="J182">
        <v>0</v>
      </c>
      <c r="K182">
        <v>5</v>
      </c>
      <c r="L182" s="11">
        <v>-0.125</v>
      </c>
      <c r="M182" t="s">
        <v>594</v>
      </c>
      <c r="N182" s="12">
        <v>0</v>
      </c>
      <c r="O182" s="12">
        <v>2</v>
      </c>
      <c r="P182" s="12">
        <v>2</v>
      </c>
      <c r="Q182" s="12">
        <v>0</v>
      </c>
      <c r="R182" s="12">
        <v>1</v>
      </c>
      <c r="S182" s="12">
        <v>1</v>
      </c>
      <c r="T182" s="1" t="s">
        <v>595</v>
      </c>
      <c r="U182" s="1" t="s">
        <v>596</v>
      </c>
      <c r="V182">
        <v>20260719</v>
      </c>
      <c r="W182">
        <v>46222.653275462966</v>
      </c>
    </row>
    <row r="183" spans="1:23" ht="45">
      <c r="A183" t="s">
        <v>343</v>
      </c>
      <c r="B183" t="s">
        <v>207</v>
      </c>
      <c r="C183" t="s">
        <v>18</v>
      </c>
      <c r="D183" t="s">
        <v>47</v>
      </c>
      <c r="E183" t="s">
        <v>208</v>
      </c>
      <c r="F183" s="1" t="s">
        <v>209</v>
      </c>
      <c r="G183" s="1" t="s">
        <v>210</v>
      </c>
      <c r="H183" s="1" t="s">
        <v>344</v>
      </c>
      <c r="I183">
        <v>40</v>
      </c>
      <c r="J183">
        <v>0</v>
      </c>
      <c r="K183">
        <v>5</v>
      </c>
      <c r="L183" s="11">
        <v>-0.125</v>
      </c>
      <c r="M183" t="s">
        <v>597</v>
      </c>
      <c r="N183" s="12">
        <v>0</v>
      </c>
      <c r="O183" s="12">
        <v>2</v>
      </c>
      <c r="P183" s="12">
        <v>2</v>
      </c>
      <c r="Q183" s="12">
        <v>0</v>
      </c>
      <c r="R183" s="12">
        <v>1</v>
      </c>
      <c r="S183" s="12">
        <v>2</v>
      </c>
      <c r="T183" s="1" t="s">
        <v>595</v>
      </c>
      <c r="U183" s="1" t="s">
        <v>596</v>
      </c>
      <c r="V183">
        <v>20260719</v>
      </c>
      <c r="W183">
        <v>46222.653275462966</v>
      </c>
    </row>
    <row r="184" spans="1:23" ht="45">
      <c r="A184" t="s">
        <v>343</v>
      </c>
      <c r="B184" t="s">
        <v>207</v>
      </c>
      <c r="C184" t="s">
        <v>18</v>
      </c>
      <c r="D184" t="s">
        <v>47</v>
      </c>
      <c r="E184" t="s">
        <v>208</v>
      </c>
      <c r="F184" s="1" t="s">
        <v>209</v>
      </c>
      <c r="G184" s="1" t="s">
        <v>210</v>
      </c>
      <c r="H184" s="1" t="s">
        <v>344</v>
      </c>
      <c r="I184">
        <v>40</v>
      </c>
      <c r="J184">
        <v>0</v>
      </c>
      <c r="K184">
        <v>5</v>
      </c>
      <c r="L184" s="11">
        <v>-0.125</v>
      </c>
      <c r="M184" t="s">
        <v>598</v>
      </c>
      <c r="N184" s="12">
        <v>1</v>
      </c>
      <c r="O184" s="12">
        <v>2</v>
      </c>
      <c r="P184" s="12">
        <v>2</v>
      </c>
      <c r="Q184" s="12">
        <v>0</v>
      </c>
      <c r="R184" s="12">
        <v>1</v>
      </c>
      <c r="S184" s="12">
        <v>1</v>
      </c>
      <c r="T184" s="1" t="s">
        <v>595</v>
      </c>
      <c r="U184" s="1" t="s">
        <v>596</v>
      </c>
      <c r="V184">
        <v>20260719</v>
      </c>
      <c r="W184">
        <v>46222.653275462966</v>
      </c>
    </row>
    <row r="185" spans="1:23" ht="45">
      <c r="A185" t="s">
        <v>345</v>
      </c>
      <c r="B185" t="s">
        <v>213</v>
      </c>
      <c r="C185" t="s">
        <v>18</v>
      </c>
      <c r="D185" t="s">
        <v>47</v>
      </c>
      <c r="E185" t="s">
        <v>208</v>
      </c>
      <c r="F185" s="1" t="s">
        <v>214</v>
      </c>
      <c r="G185" s="1" t="s">
        <v>215</v>
      </c>
      <c r="H185" s="1" t="s">
        <v>346</v>
      </c>
      <c r="I185">
        <v>37</v>
      </c>
      <c r="J185">
        <v>0</v>
      </c>
      <c r="K185">
        <v>5</v>
      </c>
      <c r="L185" s="11">
        <v>-0.13513500000000001</v>
      </c>
      <c r="M185" t="s">
        <v>594</v>
      </c>
      <c r="N185" s="12">
        <v>0</v>
      </c>
      <c r="O185" s="12">
        <v>3</v>
      </c>
      <c r="P185" s="12">
        <v>3</v>
      </c>
      <c r="Q185" s="12">
        <v>0</v>
      </c>
      <c r="R185" s="12">
        <v>1</v>
      </c>
      <c r="S185" s="12">
        <v>2</v>
      </c>
      <c r="T185" s="1" t="s">
        <v>595</v>
      </c>
      <c r="U185" s="1" t="s">
        <v>596</v>
      </c>
      <c r="V185">
        <v>20260719</v>
      </c>
      <c r="W185">
        <v>46222.653275462966</v>
      </c>
    </row>
    <row r="186" spans="1:23" ht="45">
      <c r="A186" t="s">
        <v>345</v>
      </c>
      <c r="B186" t="s">
        <v>213</v>
      </c>
      <c r="C186" t="s">
        <v>18</v>
      </c>
      <c r="D186" t="s">
        <v>47</v>
      </c>
      <c r="E186" t="s">
        <v>208</v>
      </c>
      <c r="F186" s="1" t="s">
        <v>214</v>
      </c>
      <c r="G186" s="1" t="s">
        <v>215</v>
      </c>
      <c r="H186" s="1" t="s">
        <v>346</v>
      </c>
      <c r="I186">
        <v>37</v>
      </c>
      <c r="J186">
        <v>0</v>
      </c>
      <c r="K186">
        <v>5</v>
      </c>
      <c r="L186" s="11">
        <v>-0.13513500000000001</v>
      </c>
      <c r="M186" t="s">
        <v>597</v>
      </c>
      <c r="N186" s="12">
        <v>0</v>
      </c>
      <c r="O186" s="12">
        <v>3</v>
      </c>
      <c r="P186" s="12">
        <v>3</v>
      </c>
      <c r="Q186" s="12">
        <v>0</v>
      </c>
      <c r="R186" s="12">
        <v>1</v>
      </c>
      <c r="S186" s="12">
        <v>2</v>
      </c>
      <c r="T186" s="1" t="s">
        <v>595</v>
      </c>
      <c r="U186" s="1" t="s">
        <v>596</v>
      </c>
      <c r="V186">
        <v>20260719</v>
      </c>
      <c r="W186">
        <v>46222.653275462966</v>
      </c>
    </row>
    <row r="187" spans="1:23" ht="45">
      <c r="A187" t="s">
        <v>345</v>
      </c>
      <c r="B187" t="s">
        <v>213</v>
      </c>
      <c r="C187" t="s">
        <v>18</v>
      </c>
      <c r="D187" t="s">
        <v>47</v>
      </c>
      <c r="E187" t="s">
        <v>208</v>
      </c>
      <c r="F187" s="1" t="s">
        <v>214</v>
      </c>
      <c r="G187" s="1" t="s">
        <v>215</v>
      </c>
      <c r="H187" s="1" t="s">
        <v>346</v>
      </c>
      <c r="I187">
        <v>37</v>
      </c>
      <c r="J187">
        <v>0</v>
      </c>
      <c r="K187">
        <v>5</v>
      </c>
      <c r="L187" s="11">
        <v>-0.13513500000000001</v>
      </c>
      <c r="M187" t="s">
        <v>598</v>
      </c>
      <c r="N187" s="12">
        <v>0</v>
      </c>
      <c r="O187" s="12">
        <v>3</v>
      </c>
      <c r="P187" s="12">
        <v>3</v>
      </c>
      <c r="Q187" s="12">
        <v>0</v>
      </c>
      <c r="R187" s="12">
        <v>1</v>
      </c>
      <c r="S187" s="12">
        <v>2</v>
      </c>
      <c r="T187" s="1" t="s">
        <v>595</v>
      </c>
      <c r="U187" s="1" t="s">
        <v>596</v>
      </c>
      <c r="V187">
        <v>20260719</v>
      </c>
      <c r="W187">
        <v>46222.653275462966</v>
      </c>
    </row>
    <row r="188" spans="1:23" ht="45">
      <c r="A188" t="s">
        <v>347</v>
      </c>
      <c r="B188" t="s">
        <v>218</v>
      </c>
      <c r="C188" t="s">
        <v>18</v>
      </c>
      <c r="D188" t="s">
        <v>47</v>
      </c>
      <c r="E188" t="s">
        <v>208</v>
      </c>
      <c r="F188" s="1" t="s">
        <v>219</v>
      </c>
      <c r="G188" s="1" t="s">
        <v>220</v>
      </c>
      <c r="H188" s="1" t="s">
        <v>348</v>
      </c>
      <c r="I188">
        <v>37</v>
      </c>
      <c r="J188">
        <v>0</v>
      </c>
      <c r="K188">
        <v>5</v>
      </c>
      <c r="L188" s="11">
        <v>-0.13513500000000001</v>
      </c>
      <c r="M188" t="s">
        <v>594</v>
      </c>
      <c r="N188" s="12">
        <v>1</v>
      </c>
      <c r="O188" s="12">
        <v>3</v>
      </c>
      <c r="P188" s="12">
        <v>2</v>
      </c>
      <c r="Q188" s="12">
        <v>1</v>
      </c>
      <c r="R188" s="12">
        <v>1</v>
      </c>
      <c r="S188" s="12">
        <v>2</v>
      </c>
      <c r="T188" s="1" t="s">
        <v>595</v>
      </c>
      <c r="U188" s="1" t="s">
        <v>596</v>
      </c>
      <c r="V188">
        <v>20260719</v>
      </c>
      <c r="W188">
        <v>46222.653275462966</v>
      </c>
    </row>
    <row r="189" spans="1:23" ht="45">
      <c r="A189" t="s">
        <v>347</v>
      </c>
      <c r="B189" t="s">
        <v>218</v>
      </c>
      <c r="C189" t="s">
        <v>18</v>
      </c>
      <c r="D189" t="s">
        <v>47</v>
      </c>
      <c r="E189" t="s">
        <v>208</v>
      </c>
      <c r="F189" s="1" t="s">
        <v>219</v>
      </c>
      <c r="G189" s="1" t="s">
        <v>220</v>
      </c>
      <c r="H189" s="1" t="s">
        <v>348</v>
      </c>
      <c r="I189">
        <v>37</v>
      </c>
      <c r="J189">
        <v>0</v>
      </c>
      <c r="K189">
        <v>5</v>
      </c>
      <c r="L189" s="11">
        <v>-0.13513500000000001</v>
      </c>
      <c r="M189" t="s">
        <v>597</v>
      </c>
      <c r="N189" s="12">
        <v>1</v>
      </c>
      <c r="O189" s="12">
        <v>2</v>
      </c>
      <c r="P189" s="12">
        <v>2</v>
      </c>
      <c r="Q189" s="12">
        <v>1</v>
      </c>
      <c r="R189" s="12">
        <v>2</v>
      </c>
      <c r="S189" s="12">
        <v>1</v>
      </c>
      <c r="T189" s="1" t="s">
        <v>595</v>
      </c>
      <c r="U189" s="1" t="s">
        <v>596</v>
      </c>
      <c r="V189">
        <v>20260719</v>
      </c>
      <c r="W189">
        <v>46222.653275462966</v>
      </c>
    </row>
    <row r="190" spans="1:23" ht="45">
      <c r="A190" t="s">
        <v>347</v>
      </c>
      <c r="B190" t="s">
        <v>218</v>
      </c>
      <c r="C190" t="s">
        <v>18</v>
      </c>
      <c r="D190" t="s">
        <v>47</v>
      </c>
      <c r="E190" t="s">
        <v>208</v>
      </c>
      <c r="F190" s="1" t="s">
        <v>219</v>
      </c>
      <c r="G190" s="1" t="s">
        <v>220</v>
      </c>
      <c r="H190" s="1" t="s">
        <v>348</v>
      </c>
      <c r="I190">
        <v>37</v>
      </c>
      <c r="J190">
        <v>0</v>
      </c>
      <c r="K190">
        <v>5</v>
      </c>
      <c r="L190" s="11">
        <v>-0.13513500000000001</v>
      </c>
      <c r="M190" t="s">
        <v>598</v>
      </c>
      <c r="N190" s="12">
        <v>1</v>
      </c>
      <c r="O190" s="12">
        <v>3</v>
      </c>
      <c r="P190" s="12">
        <v>2</v>
      </c>
      <c r="Q190" s="12">
        <v>1</v>
      </c>
      <c r="R190" s="12">
        <v>1</v>
      </c>
      <c r="S190" s="12">
        <v>2</v>
      </c>
      <c r="T190" s="1" t="s">
        <v>595</v>
      </c>
      <c r="U190" s="1" t="s">
        <v>596</v>
      </c>
      <c r="V190">
        <v>20260719</v>
      </c>
      <c r="W190">
        <v>46222.653275462966</v>
      </c>
    </row>
    <row r="191" spans="1:23" ht="45">
      <c r="A191" t="s">
        <v>349</v>
      </c>
      <c r="B191" t="s">
        <v>223</v>
      </c>
      <c r="C191" t="s">
        <v>18</v>
      </c>
      <c r="D191" t="s">
        <v>47</v>
      </c>
      <c r="E191" t="s">
        <v>208</v>
      </c>
      <c r="F191" s="1" t="s">
        <v>224</v>
      </c>
      <c r="G191" s="1" t="s">
        <v>225</v>
      </c>
      <c r="H191" s="1" t="s">
        <v>350</v>
      </c>
      <c r="I191">
        <v>39</v>
      </c>
      <c r="J191">
        <v>0</v>
      </c>
      <c r="K191">
        <v>5</v>
      </c>
      <c r="L191" s="11">
        <v>-0.12820500000000001</v>
      </c>
      <c r="M191" t="s">
        <v>594</v>
      </c>
      <c r="N191" s="12">
        <v>2</v>
      </c>
      <c r="O191" s="12">
        <v>3</v>
      </c>
      <c r="P191" s="12">
        <v>3</v>
      </c>
      <c r="Q191" s="12">
        <v>2</v>
      </c>
      <c r="R191" s="12">
        <v>1</v>
      </c>
      <c r="S191" s="12">
        <v>2</v>
      </c>
      <c r="T191" s="1" t="s">
        <v>595</v>
      </c>
      <c r="U191" s="1" t="s">
        <v>596</v>
      </c>
      <c r="V191">
        <v>20260719</v>
      </c>
      <c r="W191">
        <v>46222.653275462966</v>
      </c>
    </row>
    <row r="192" spans="1:23" ht="45">
      <c r="A192" t="s">
        <v>349</v>
      </c>
      <c r="B192" t="s">
        <v>223</v>
      </c>
      <c r="C192" t="s">
        <v>18</v>
      </c>
      <c r="D192" t="s">
        <v>47</v>
      </c>
      <c r="E192" t="s">
        <v>208</v>
      </c>
      <c r="F192" s="1" t="s">
        <v>224</v>
      </c>
      <c r="G192" s="1" t="s">
        <v>225</v>
      </c>
      <c r="H192" s="1" t="s">
        <v>350</v>
      </c>
      <c r="I192">
        <v>39</v>
      </c>
      <c r="J192">
        <v>0</v>
      </c>
      <c r="K192">
        <v>5</v>
      </c>
      <c r="L192" s="11">
        <v>-0.12820500000000001</v>
      </c>
      <c r="M192" t="s">
        <v>597</v>
      </c>
      <c r="N192" s="12">
        <v>2</v>
      </c>
      <c r="O192" s="12">
        <v>3</v>
      </c>
      <c r="P192" s="12">
        <v>3</v>
      </c>
      <c r="Q192" s="12">
        <v>2</v>
      </c>
      <c r="R192" s="12">
        <v>2</v>
      </c>
      <c r="S192" s="12">
        <v>2</v>
      </c>
      <c r="T192" s="1" t="s">
        <v>595</v>
      </c>
      <c r="U192" s="1" t="s">
        <v>596</v>
      </c>
      <c r="V192">
        <v>20260719</v>
      </c>
      <c r="W192">
        <v>46222.653275462966</v>
      </c>
    </row>
    <row r="193" spans="1:23" ht="45">
      <c r="A193" t="s">
        <v>349</v>
      </c>
      <c r="B193" t="s">
        <v>223</v>
      </c>
      <c r="C193" t="s">
        <v>18</v>
      </c>
      <c r="D193" t="s">
        <v>47</v>
      </c>
      <c r="E193" t="s">
        <v>208</v>
      </c>
      <c r="F193" s="1" t="s">
        <v>224</v>
      </c>
      <c r="G193" s="1" t="s">
        <v>225</v>
      </c>
      <c r="H193" s="1" t="s">
        <v>350</v>
      </c>
      <c r="I193">
        <v>39</v>
      </c>
      <c r="J193">
        <v>0</v>
      </c>
      <c r="K193">
        <v>5</v>
      </c>
      <c r="L193" s="11">
        <v>-0.12820500000000001</v>
      </c>
      <c r="M193" t="s">
        <v>598</v>
      </c>
      <c r="N193" s="12">
        <v>2</v>
      </c>
      <c r="O193" s="12">
        <v>3</v>
      </c>
      <c r="P193" s="12">
        <v>3</v>
      </c>
      <c r="Q193" s="12">
        <v>2</v>
      </c>
      <c r="R193" s="12">
        <v>2</v>
      </c>
      <c r="S193" s="12">
        <v>2</v>
      </c>
      <c r="T193" s="1" t="s">
        <v>595</v>
      </c>
      <c r="U193" s="1" t="s">
        <v>596</v>
      </c>
      <c r="V193">
        <v>20260719</v>
      </c>
      <c r="W193">
        <v>46222.653275462966</v>
      </c>
    </row>
    <row r="194" spans="1:23" ht="45">
      <c r="A194" t="s">
        <v>351</v>
      </c>
      <c r="B194" t="s">
        <v>228</v>
      </c>
      <c r="C194" t="s">
        <v>18</v>
      </c>
      <c r="D194" t="s">
        <v>47</v>
      </c>
      <c r="E194" t="s">
        <v>229</v>
      </c>
      <c r="F194" s="1" t="s">
        <v>230</v>
      </c>
      <c r="G194" s="1" t="s">
        <v>231</v>
      </c>
      <c r="H194" s="1" t="s">
        <v>352</v>
      </c>
      <c r="I194">
        <v>36</v>
      </c>
      <c r="J194">
        <v>0</v>
      </c>
      <c r="K194">
        <v>5</v>
      </c>
      <c r="L194" s="11">
        <v>-0.13888900000000001</v>
      </c>
      <c r="M194" t="s">
        <v>594</v>
      </c>
      <c r="N194" s="12">
        <v>0</v>
      </c>
      <c r="O194" s="12">
        <v>2</v>
      </c>
      <c r="P194" s="12">
        <v>3</v>
      </c>
      <c r="Q194" s="12">
        <v>1</v>
      </c>
      <c r="R194" s="12">
        <v>2</v>
      </c>
      <c r="S194" s="12">
        <v>2</v>
      </c>
      <c r="T194" s="1" t="s">
        <v>595</v>
      </c>
      <c r="U194" s="1" t="s">
        <v>596</v>
      </c>
      <c r="V194">
        <v>20260719</v>
      </c>
      <c r="W194">
        <v>46222.653275462966</v>
      </c>
    </row>
    <row r="195" spans="1:23" ht="45">
      <c r="A195" t="s">
        <v>351</v>
      </c>
      <c r="B195" t="s">
        <v>228</v>
      </c>
      <c r="C195" t="s">
        <v>18</v>
      </c>
      <c r="D195" t="s">
        <v>47</v>
      </c>
      <c r="E195" t="s">
        <v>229</v>
      </c>
      <c r="F195" s="1" t="s">
        <v>230</v>
      </c>
      <c r="G195" s="1" t="s">
        <v>231</v>
      </c>
      <c r="H195" s="1" t="s">
        <v>352</v>
      </c>
      <c r="I195">
        <v>36</v>
      </c>
      <c r="J195">
        <v>0</v>
      </c>
      <c r="K195">
        <v>5</v>
      </c>
      <c r="L195" s="11">
        <v>-0.13888900000000001</v>
      </c>
      <c r="M195" t="s">
        <v>597</v>
      </c>
      <c r="N195" s="12">
        <v>0</v>
      </c>
      <c r="O195" s="12">
        <v>2</v>
      </c>
      <c r="P195" s="12">
        <v>3</v>
      </c>
      <c r="Q195" s="12">
        <v>1</v>
      </c>
      <c r="R195" s="12">
        <v>2</v>
      </c>
      <c r="S195" s="12">
        <v>2</v>
      </c>
      <c r="T195" s="1" t="s">
        <v>595</v>
      </c>
      <c r="U195" s="1" t="s">
        <v>596</v>
      </c>
      <c r="V195">
        <v>20260719</v>
      </c>
      <c r="W195">
        <v>46222.653275462966</v>
      </c>
    </row>
    <row r="196" spans="1:23" ht="45">
      <c r="A196" t="s">
        <v>351</v>
      </c>
      <c r="B196" t="s">
        <v>228</v>
      </c>
      <c r="C196" t="s">
        <v>18</v>
      </c>
      <c r="D196" t="s">
        <v>47</v>
      </c>
      <c r="E196" t="s">
        <v>229</v>
      </c>
      <c r="F196" s="1" t="s">
        <v>230</v>
      </c>
      <c r="G196" s="1" t="s">
        <v>231</v>
      </c>
      <c r="H196" s="1" t="s">
        <v>352</v>
      </c>
      <c r="I196">
        <v>36</v>
      </c>
      <c r="J196">
        <v>0</v>
      </c>
      <c r="K196">
        <v>5</v>
      </c>
      <c r="L196" s="11">
        <v>-0.13888900000000001</v>
      </c>
      <c r="M196" t="s">
        <v>598</v>
      </c>
      <c r="N196" s="12">
        <v>1</v>
      </c>
      <c r="O196" s="12">
        <v>2</v>
      </c>
      <c r="P196" s="12">
        <v>3</v>
      </c>
      <c r="Q196" s="12">
        <v>1</v>
      </c>
      <c r="R196" s="12">
        <v>2</v>
      </c>
      <c r="S196" s="12">
        <v>2</v>
      </c>
      <c r="T196" s="1" t="s">
        <v>595</v>
      </c>
      <c r="U196" s="1" t="s">
        <v>596</v>
      </c>
      <c r="V196">
        <v>20260719</v>
      </c>
      <c r="W196">
        <v>46222.653275462966</v>
      </c>
    </row>
    <row r="197" spans="1:23" ht="45">
      <c r="A197" t="s">
        <v>353</v>
      </c>
      <c r="B197" t="s">
        <v>234</v>
      </c>
      <c r="C197" t="s">
        <v>18</v>
      </c>
      <c r="D197" t="s">
        <v>47</v>
      </c>
      <c r="E197" t="s">
        <v>229</v>
      </c>
      <c r="F197" s="1" t="s">
        <v>235</v>
      </c>
      <c r="G197" s="1" t="s">
        <v>236</v>
      </c>
      <c r="H197" s="1" t="s">
        <v>354</v>
      </c>
      <c r="I197">
        <v>42</v>
      </c>
      <c r="J197">
        <v>0</v>
      </c>
      <c r="K197">
        <v>5</v>
      </c>
      <c r="L197" s="11">
        <v>-0.119048</v>
      </c>
      <c r="M197" t="s">
        <v>594</v>
      </c>
      <c r="N197" s="12">
        <v>0</v>
      </c>
      <c r="O197" s="12">
        <v>2</v>
      </c>
      <c r="P197" s="12">
        <v>2</v>
      </c>
      <c r="Q197" s="12">
        <v>0</v>
      </c>
      <c r="R197" s="12">
        <v>1</v>
      </c>
      <c r="S197" s="12">
        <v>2</v>
      </c>
      <c r="T197" s="1" t="s">
        <v>595</v>
      </c>
      <c r="U197" s="1" t="s">
        <v>596</v>
      </c>
      <c r="V197">
        <v>20260719</v>
      </c>
      <c r="W197">
        <v>46222.653275462966</v>
      </c>
    </row>
    <row r="198" spans="1:23" ht="45">
      <c r="A198" t="s">
        <v>353</v>
      </c>
      <c r="B198" t="s">
        <v>234</v>
      </c>
      <c r="C198" t="s">
        <v>18</v>
      </c>
      <c r="D198" t="s">
        <v>47</v>
      </c>
      <c r="E198" t="s">
        <v>229</v>
      </c>
      <c r="F198" s="1" t="s">
        <v>235</v>
      </c>
      <c r="G198" s="1" t="s">
        <v>236</v>
      </c>
      <c r="H198" s="1" t="s">
        <v>354</v>
      </c>
      <c r="I198">
        <v>42</v>
      </c>
      <c r="J198">
        <v>0</v>
      </c>
      <c r="K198">
        <v>5</v>
      </c>
      <c r="L198" s="11">
        <v>-0.119048</v>
      </c>
      <c r="M198" t="s">
        <v>597</v>
      </c>
      <c r="N198" s="12">
        <v>0</v>
      </c>
      <c r="O198" s="12">
        <v>3</v>
      </c>
      <c r="P198" s="12">
        <v>2</v>
      </c>
      <c r="Q198" s="12">
        <v>0</v>
      </c>
      <c r="R198" s="12">
        <v>1</v>
      </c>
      <c r="S198" s="12">
        <v>2</v>
      </c>
      <c r="T198" s="1" t="s">
        <v>595</v>
      </c>
      <c r="U198" s="1" t="s">
        <v>596</v>
      </c>
      <c r="V198">
        <v>20260719</v>
      </c>
      <c r="W198">
        <v>46222.653275462966</v>
      </c>
    </row>
    <row r="199" spans="1:23" ht="45">
      <c r="A199" t="s">
        <v>353</v>
      </c>
      <c r="B199" t="s">
        <v>234</v>
      </c>
      <c r="C199" t="s">
        <v>18</v>
      </c>
      <c r="D199" t="s">
        <v>47</v>
      </c>
      <c r="E199" t="s">
        <v>229</v>
      </c>
      <c r="F199" s="1" t="s">
        <v>235</v>
      </c>
      <c r="G199" s="1" t="s">
        <v>236</v>
      </c>
      <c r="H199" s="1" t="s">
        <v>354</v>
      </c>
      <c r="I199">
        <v>42</v>
      </c>
      <c r="J199">
        <v>0</v>
      </c>
      <c r="K199">
        <v>5</v>
      </c>
      <c r="L199" s="11">
        <v>-0.119048</v>
      </c>
      <c r="M199" t="s">
        <v>598</v>
      </c>
      <c r="N199" s="12">
        <v>0</v>
      </c>
      <c r="O199" s="12">
        <v>3</v>
      </c>
      <c r="P199" s="12">
        <v>3</v>
      </c>
      <c r="Q199" s="12">
        <v>0</v>
      </c>
      <c r="R199" s="12">
        <v>1</v>
      </c>
      <c r="S199" s="12">
        <v>2</v>
      </c>
      <c r="T199" s="1" t="s">
        <v>595</v>
      </c>
      <c r="U199" s="1" t="s">
        <v>596</v>
      </c>
      <c r="V199">
        <v>20260719</v>
      </c>
      <c r="W199">
        <v>46222.653275462966</v>
      </c>
    </row>
    <row r="200" spans="1:23" ht="45">
      <c r="A200" t="s">
        <v>355</v>
      </c>
      <c r="B200" t="s">
        <v>239</v>
      </c>
      <c r="C200" t="s">
        <v>18</v>
      </c>
      <c r="D200" t="s">
        <v>47</v>
      </c>
      <c r="E200" t="s">
        <v>229</v>
      </c>
      <c r="F200" s="1" t="s">
        <v>240</v>
      </c>
      <c r="G200" s="1" t="s">
        <v>241</v>
      </c>
      <c r="H200" s="1" t="s">
        <v>356</v>
      </c>
      <c r="I200">
        <v>39</v>
      </c>
      <c r="J200">
        <v>0</v>
      </c>
      <c r="K200">
        <v>5</v>
      </c>
      <c r="L200" s="11">
        <v>-0.12820500000000001</v>
      </c>
      <c r="M200" t="s">
        <v>594</v>
      </c>
      <c r="N200" s="12">
        <v>1</v>
      </c>
      <c r="O200" s="12">
        <v>2</v>
      </c>
      <c r="P200" s="12">
        <v>2</v>
      </c>
      <c r="Q200" s="12">
        <v>2</v>
      </c>
      <c r="R200" s="12">
        <v>2</v>
      </c>
      <c r="S200" s="12">
        <v>2</v>
      </c>
      <c r="T200" s="1" t="s">
        <v>595</v>
      </c>
      <c r="U200" s="1" t="s">
        <v>596</v>
      </c>
      <c r="V200">
        <v>20260719</v>
      </c>
      <c r="W200">
        <v>46222.653275462966</v>
      </c>
    </row>
    <row r="201" spans="1:23" ht="45">
      <c r="A201" t="s">
        <v>355</v>
      </c>
      <c r="B201" t="s">
        <v>239</v>
      </c>
      <c r="C201" t="s">
        <v>18</v>
      </c>
      <c r="D201" t="s">
        <v>47</v>
      </c>
      <c r="E201" t="s">
        <v>229</v>
      </c>
      <c r="F201" s="1" t="s">
        <v>240</v>
      </c>
      <c r="G201" s="1" t="s">
        <v>241</v>
      </c>
      <c r="H201" s="1" t="s">
        <v>356</v>
      </c>
      <c r="I201">
        <v>39</v>
      </c>
      <c r="J201">
        <v>0</v>
      </c>
      <c r="K201">
        <v>5</v>
      </c>
      <c r="L201" s="11">
        <v>-0.12820500000000001</v>
      </c>
      <c r="M201" t="s">
        <v>597</v>
      </c>
      <c r="N201" s="12">
        <v>2</v>
      </c>
      <c r="O201" s="12">
        <v>3</v>
      </c>
      <c r="P201" s="12">
        <v>2</v>
      </c>
      <c r="Q201" s="12">
        <v>2</v>
      </c>
      <c r="R201" s="12">
        <v>2</v>
      </c>
      <c r="S201" s="12">
        <v>2</v>
      </c>
      <c r="T201" s="1" t="s">
        <v>595</v>
      </c>
      <c r="U201" s="1" t="s">
        <v>596</v>
      </c>
      <c r="V201">
        <v>20260719</v>
      </c>
      <c r="W201">
        <v>46222.653275462966</v>
      </c>
    </row>
    <row r="202" spans="1:23" ht="45">
      <c r="A202" t="s">
        <v>355</v>
      </c>
      <c r="B202" t="s">
        <v>239</v>
      </c>
      <c r="C202" t="s">
        <v>18</v>
      </c>
      <c r="D202" t="s">
        <v>47</v>
      </c>
      <c r="E202" t="s">
        <v>229</v>
      </c>
      <c r="F202" s="1" t="s">
        <v>240</v>
      </c>
      <c r="G202" s="1" t="s">
        <v>241</v>
      </c>
      <c r="H202" s="1" t="s">
        <v>356</v>
      </c>
      <c r="I202">
        <v>39</v>
      </c>
      <c r="J202">
        <v>0</v>
      </c>
      <c r="K202">
        <v>5</v>
      </c>
      <c r="L202" s="11">
        <v>-0.12820500000000001</v>
      </c>
      <c r="M202" t="s">
        <v>598</v>
      </c>
      <c r="N202" s="12">
        <v>2</v>
      </c>
      <c r="O202" s="12">
        <v>3</v>
      </c>
      <c r="P202" s="12">
        <v>2</v>
      </c>
      <c r="Q202" s="12">
        <v>2</v>
      </c>
      <c r="R202" s="12">
        <v>2</v>
      </c>
      <c r="S202" s="12">
        <v>2</v>
      </c>
      <c r="T202" s="1" t="s">
        <v>595</v>
      </c>
      <c r="U202" s="1" t="s">
        <v>596</v>
      </c>
      <c r="V202">
        <v>20260719</v>
      </c>
      <c r="W202">
        <v>46222.653275462966</v>
      </c>
    </row>
    <row r="203" spans="1:23" ht="45">
      <c r="A203" t="s">
        <v>357</v>
      </c>
      <c r="B203" t="s">
        <v>244</v>
      </c>
      <c r="C203" t="s">
        <v>18</v>
      </c>
      <c r="D203" t="s">
        <v>47</v>
      </c>
      <c r="E203" t="s">
        <v>229</v>
      </c>
      <c r="F203" s="1" t="s">
        <v>245</v>
      </c>
      <c r="G203" s="1" t="s">
        <v>246</v>
      </c>
      <c r="H203" s="1" t="s">
        <v>358</v>
      </c>
      <c r="I203">
        <v>37</v>
      </c>
      <c r="J203">
        <v>0</v>
      </c>
      <c r="K203">
        <v>5</v>
      </c>
      <c r="L203" s="11">
        <v>-0.13513500000000001</v>
      </c>
      <c r="M203" t="s">
        <v>594</v>
      </c>
      <c r="N203" s="12">
        <v>0</v>
      </c>
      <c r="O203" s="12">
        <v>3</v>
      </c>
      <c r="P203" s="12">
        <v>3</v>
      </c>
      <c r="Q203" s="12">
        <v>0</v>
      </c>
      <c r="R203" s="12">
        <v>2</v>
      </c>
      <c r="S203" s="12">
        <v>3</v>
      </c>
      <c r="T203" s="1" t="s">
        <v>595</v>
      </c>
      <c r="U203" s="1" t="s">
        <v>596</v>
      </c>
      <c r="V203">
        <v>20260719</v>
      </c>
      <c r="W203">
        <v>46222.653275462966</v>
      </c>
    </row>
    <row r="204" spans="1:23" ht="45">
      <c r="A204" t="s">
        <v>357</v>
      </c>
      <c r="B204" t="s">
        <v>244</v>
      </c>
      <c r="C204" t="s">
        <v>18</v>
      </c>
      <c r="D204" t="s">
        <v>47</v>
      </c>
      <c r="E204" t="s">
        <v>229</v>
      </c>
      <c r="F204" s="1" t="s">
        <v>245</v>
      </c>
      <c r="G204" s="1" t="s">
        <v>246</v>
      </c>
      <c r="H204" s="1" t="s">
        <v>358</v>
      </c>
      <c r="I204">
        <v>37</v>
      </c>
      <c r="J204">
        <v>0</v>
      </c>
      <c r="K204">
        <v>5</v>
      </c>
      <c r="L204" s="11">
        <v>-0.13513500000000001</v>
      </c>
      <c r="M204" t="s">
        <v>597</v>
      </c>
      <c r="N204" s="12">
        <v>0</v>
      </c>
      <c r="O204" s="12">
        <v>3</v>
      </c>
      <c r="P204" s="12">
        <v>3</v>
      </c>
      <c r="Q204" s="12">
        <v>0</v>
      </c>
      <c r="R204" s="12">
        <v>2</v>
      </c>
      <c r="S204" s="12">
        <v>3</v>
      </c>
      <c r="T204" s="1" t="s">
        <v>595</v>
      </c>
      <c r="U204" s="1" t="s">
        <v>596</v>
      </c>
      <c r="V204">
        <v>20260719</v>
      </c>
      <c r="W204">
        <v>46222.653275462966</v>
      </c>
    </row>
    <row r="205" spans="1:23" ht="45">
      <c r="A205" t="s">
        <v>357</v>
      </c>
      <c r="B205" t="s">
        <v>244</v>
      </c>
      <c r="C205" t="s">
        <v>18</v>
      </c>
      <c r="D205" t="s">
        <v>47</v>
      </c>
      <c r="E205" t="s">
        <v>229</v>
      </c>
      <c r="F205" s="1" t="s">
        <v>245</v>
      </c>
      <c r="G205" s="1" t="s">
        <v>246</v>
      </c>
      <c r="H205" s="1" t="s">
        <v>358</v>
      </c>
      <c r="I205">
        <v>37</v>
      </c>
      <c r="J205">
        <v>0</v>
      </c>
      <c r="K205">
        <v>5</v>
      </c>
      <c r="L205" s="11">
        <v>-0.13513500000000001</v>
      </c>
      <c r="M205" t="s">
        <v>598</v>
      </c>
      <c r="N205" s="12">
        <v>0</v>
      </c>
      <c r="O205" s="12">
        <v>3</v>
      </c>
      <c r="P205" s="12">
        <v>3</v>
      </c>
      <c r="Q205" s="12">
        <v>0</v>
      </c>
      <c r="R205" s="12">
        <v>2</v>
      </c>
      <c r="S205" s="12">
        <v>3</v>
      </c>
      <c r="T205" s="1" t="s">
        <v>595</v>
      </c>
      <c r="U205" s="1" t="s">
        <v>596</v>
      </c>
      <c r="V205">
        <v>20260719</v>
      </c>
      <c r="W205">
        <v>46222.653275462966</v>
      </c>
    </row>
    <row r="206" spans="1:23" ht="45">
      <c r="A206" t="s">
        <v>359</v>
      </c>
      <c r="B206" t="s">
        <v>249</v>
      </c>
      <c r="C206" t="s">
        <v>18</v>
      </c>
      <c r="D206" t="s">
        <v>47</v>
      </c>
      <c r="E206" t="s">
        <v>250</v>
      </c>
      <c r="F206" s="1" t="s">
        <v>251</v>
      </c>
      <c r="G206" s="1" t="s">
        <v>252</v>
      </c>
      <c r="H206" s="1" t="s">
        <v>360</v>
      </c>
      <c r="I206">
        <v>35</v>
      </c>
      <c r="J206">
        <v>0</v>
      </c>
      <c r="K206">
        <v>5</v>
      </c>
      <c r="L206" s="11">
        <v>-0.14285700000000001</v>
      </c>
      <c r="M206" t="s">
        <v>594</v>
      </c>
      <c r="N206" s="12">
        <v>0</v>
      </c>
      <c r="O206" s="12">
        <v>3</v>
      </c>
      <c r="P206" s="12">
        <v>3</v>
      </c>
      <c r="Q206" s="12">
        <v>0</v>
      </c>
      <c r="R206" s="12">
        <v>2</v>
      </c>
      <c r="S206" s="12">
        <v>1</v>
      </c>
      <c r="T206" s="1" t="s">
        <v>595</v>
      </c>
      <c r="U206" s="1" t="s">
        <v>596</v>
      </c>
      <c r="V206">
        <v>20260719</v>
      </c>
      <c r="W206">
        <v>46222.653275462966</v>
      </c>
    </row>
    <row r="207" spans="1:23" ht="45">
      <c r="A207" t="s">
        <v>359</v>
      </c>
      <c r="B207" t="s">
        <v>249</v>
      </c>
      <c r="C207" t="s">
        <v>18</v>
      </c>
      <c r="D207" t="s">
        <v>47</v>
      </c>
      <c r="E207" t="s">
        <v>250</v>
      </c>
      <c r="F207" s="1" t="s">
        <v>251</v>
      </c>
      <c r="G207" s="1" t="s">
        <v>252</v>
      </c>
      <c r="H207" s="1" t="s">
        <v>360</v>
      </c>
      <c r="I207">
        <v>35</v>
      </c>
      <c r="J207">
        <v>0</v>
      </c>
      <c r="K207">
        <v>5</v>
      </c>
      <c r="L207" s="11">
        <v>-0.14285700000000001</v>
      </c>
      <c r="M207" t="s">
        <v>597</v>
      </c>
      <c r="N207" s="12">
        <v>0</v>
      </c>
      <c r="O207" s="12">
        <v>3</v>
      </c>
      <c r="P207" s="12">
        <v>3</v>
      </c>
      <c r="Q207" s="12">
        <v>0</v>
      </c>
      <c r="R207" s="12">
        <v>2</v>
      </c>
      <c r="S207" s="12">
        <v>2</v>
      </c>
      <c r="T207" s="1" t="s">
        <v>595</v>
      </c>
      <c r="U207" s="1" t="s">
        <v>596</v>
      </c>
      <c r="V207">
        <v>20260719</v>
      </c>
      <c r="W207">
        <v>46222.653275462966</v>
      </c>
    </row>
    <row r="208" spans="1:23" ht="45">
      <c r="A208" t="s">
        <v>359</v>
      </c>
      <c r="B208" t="s">
        <v>249</v>
      </c>
      <c r="C208" t="s">
        <v>18</v>
      </c>
      <c r="D208" t="s">
        <v>47</v>
      </c>
      <c r="E208" t="s">
        <v>250</v>
      </c>
      <c r="F208" s="1" t="s">
        <v>251</v>
      </c>
      <c r="G208" s="1" t="s">
        <v>252</v>
      </c>
      <c r="H208" s="1" t="s">
        <v>360</v>
      </c>
      <c r="I208">
        <v>35</v>
      </c>
      <c r="J208">
        <v>0</v>
      </c>
      <c r="K208">
        <v>5</v>
      </c>
      <c r="L208" s="11">
        <v>-0.14285700000000001</v>
      </c>
      <c r="M208" t="s">
        <v>598</v>
      </c>
      <c r="N208" s="12">
        <v>0</v>
      </c>
      <c r="O208" s="12">
        <v>3</v>
      </c>
      <c r="P208" s="12">
        <v>3</v>
      </c>
      <c r="Q208" s="12">
        <v>0</v>
      </c>
      <c r="R208" s="12">
        <v>2</v>
      </c>
      <c r="S208" s="12">
        <v>1</v>
      </c>
      <c r="T208" s="1" t="s">
        <v>595</v>
      </c>
      <c r="U208" s="1" t="s">
        <v>596</v>
      </c>
      <c r="V208">
        <v>20260719</v>
      </c>
      <c r="W208">
        <v>46222.653275462966</v>
      </c>
    </row>
    <row r="209" spans="1:23" ht="45">
      <c r="A209" t="s">
        <v>361</v>
      </c>
      <c r="B209" t="s">
        <v>255</v>
      </c>
      <c r="C209" t="s">
        <v>18</v>
      </c>
      <c r="D209" t="s">
        <v>47</v>
      </c>
      <c r="E209" t="s">
        <v>250</v>
      </c>
      <c r="F209" s="1" t="s">
        <v>256</v>
      </c>
      <c r="G209" s="1" t="s">
        <v>257</v>
      </c>
      <c r="H209" s="1" t="s">
        <v>362</v>
      </c>
      <c r="I209">
        <v>40</v>
      </c>
      <c r="J209">
        <v>0</v>
      </c>
      <c r="K209">
        <v>5</v>
      </c>
      <c r="L209" s="11">
        <v>-0.125</v>
      </c>
      <c r="M209" t="s">
        <v>594</v>
      </c>
      <c r="N209" s="12">
        <v>0</v>
      </c>
      <c r="O209" s="12">
        <v>3</v>
      </c>
      <c r="P209" s="12">
        <v>2</v>
      </c>
      <c r="Q209" s="12">
        <v>1</v>
      </c>
      <c r="R209" s="12">
        <v>1</v>
      </c>
      <c r="S209" s="12">
        <v>2</v>
      </c>
      <c r="T209" s="1" t="s">
        <v>595</v>
      </c>
      <c r="U209" s="1" t="s">
        <v>596</v>
      </c>
      <c r="V209">
        <v>20260719</v>
      </c>
      <c r="W209">
        <v>46222.653275462966</v>
      </c>
    </row>
    <row r="210" spans="1:23" ht="45">
      <c r="A210" t="s">
        <v>361</v>
      </c>
      <c r="B210" t="s">
        <v>255</v>
      </c>
      <c r="C210" t="s">
        <v>18</v>
      </c>
      <c r="D210" t="s">
        <v>47</v>
      </c>
      <c r="E210" t="s">
        <v>250</v>
      </c>
      <c r="F210" s="1" t="s">
        <v>256</v>
      </c>
      <c r="G210" s="1" t="s">
        <v>257</v>
      </c>
      <c r="H210" s="1" t="s">
        <v>362</v>
      </c>
      <c r="I210">
        <v>40</v>
      </c>
      <c r="J210">
        <v>0</v>
      </c>
      <c r="K210">
        <v>5</v>
      </c>
      <c r="L210" s="11">
        <v>-0.125</v>
      </c>
      <c r="M210" t="s">
        <v>597</v>
      </c>
      <c r="N210" s="12">
        <v>0</v>
      </c>
      <c r="O210" s="12">
        <v>2</v>
      </c>
      <c r="P210" s="12">
        <v>2</v>
      </c>
      <c r="Q210" s="12">
        <v>1</v>
      </c>
      <c r="R210" s="12">
        <v>2</v>
      </c>
      <c r="S210" s="12">
        <v>2</v>
      </c>
      <c r="T210" s="1" t="s">
        <v>595</v>
      </c>
      <c r="U210" s="1" t="s">
        <v>596</v>
      </c>
      <c r="V210">
        <v>20260719</v>
      </c>
      <c r="W210">
        <v>46222.653275462966</v>
      </c>
    </row>
    <row r="211" spans="1:23" ht="45">
      <c r="A211" t="s">
        <v>361</v>
      </c>
      <c r="B211" t="s">
        <v>255</v>
      </c>
      <c r="C211" t="s">
        <v>18</v>
      </c>
      <c r="D211" t="s">
        <v>47</v>
      </c>
      <c r="E211" t="s">
        <v>250</v>
      </c>
      <c r="F211" s="1" t="s">
        <v>256</v>
      </c>
      <c r="G211" s="1" t="s">
        <v>257</v>
      </c>
      <c r="H211" s="1" t="s">
        <v>362</v>
      </c>
      <c r="I211">
        <v>40</v>
      </c>
      <c r="J211">
        <v>0</v>
      </c>
      <c r="K211">
        <v>5</v>
      </c>
      <c r="L211" s="11">
        <v>-0.125</v>
      </c>
      <c r="M211" t="s">
        <v>598</v>
      </c>
      <c r="N211" s="12">
        <v>0</v>
      </c>
      <c r="O211" s="12">
        <v>3</v>
      </c>
      <c r="P211" s="12">
        <v>2</v>
      </c>
      <c r="Q211" s="12">
        <v>1</v>
      </c>
      <c r="R211" s="12">
        <v>2</v>
      </c>
      <c r="S211" s="12">
        <v>2</v>
      </c>
      <c r="T211" s="1" t="s">
        <v>595</v>
      </c>
      <c r="U211" s="1" t="s">
        <v>596</v>
      </c>
      <c r="V211">
        <v>20260719</v>
      </c>
      <c r="W211">
        <v>46222.653275462966</v>
      </c>
    </row>
    <row r="212" spans="1:23" ht="45">
      <c r="A212" t="s">
        <v>363</v>
      </c>
      <c r="B212" t="s">
        <v>260</v>
      </c>
      <c r="C212" t="s">
        <v>18</v>
      </c>
      <c r="D212" t="s">
        <v>47</v>
      </c>
      <c r="E212" t="s">
        <v>250</v>
      </c>
      <c r="F212" s="1" t="s">
        <v>261</v>
      </c>
      <c r="G212" s="1" t="s">
        <v>262</v>
      </c>
      <c r="H212" s="1" t="s">
        <v>364</v>
      </c>
      <c r="I212">
        <v>35</v>
      </c>
      <c r="J212">
        <v>0</v>
      </c>
      <c r="K212">
        <v>5</v>
      </c>
      <c r="L212" s="11">
        <v>-0.14285700000000001</v>
      </c>
      <c r="M212" t="s">
        <v>594</v>
      </c>
      <c r="N212" s="12">
        <v>1</v>
      </c>
      <c r="O212" s="12">
        <v>2</v>
      </c>
      <c r="P212" s="12">
        <v>2</v>
      </c>
      <c r="Q212" s="12">
        <v>0</v>
      </c>
      <c r="R212" s="12">
        <v>1</v>
      </c>
      <c r="S212" s="12">
        <v>1</v>
      </c>
      <c r="T212" s="1" t="s">
        <v>595</v>
      </c>
      <c r="U212" s="1" t="s">
        <v>596</v>
      </c>
      <c r="V212">
        <v>20260719</v>
      </c>
      <c r="W212">
        <v>46222.653275462966</v>
      </c>
    </row>
    <row r="213" spans="1:23" ht="45">
      <c r="A213" t="s">
        <v>363</v>
      </c>
      <c r="B213" t="s">
        <v>260</v>
      </c>
      <c r="C213" t="s">
        <v>18</v>
      </c>
      <c r="D213" t="s">
        <v>47</v>
      </c>
      <c r="E213" t="s">
        <v>250</v>
      </c>
      <c r="F213" s="1" t="s">
        <v>261</v>
      </c>
      <c r="G213" s="1" t="s">
        <v>262</v>
      </c>
      <c r="H213" s="1" t="s">
        <v>364</v>
      </c>
      <c r="I213">
        <v>35</v>
      </c>
      <c r="J213">
        <v>0</v>
      </c>
      <c r="K213">
        <v>5</v>
      </c>
      <c r="L213" s="11">
        <v>-0.14285700000000001</v>
      </c>
      <c r="M213" t="s">
        <v>597</v>
      </c>
      <c r="N213" s="12">
        <v>1</v>
      </c>
      <c r="O213" s="12">
        <v>2</v>
      </c>
      <c r="P213" s="12">
        <v>3</v>
      </c>
      <c r="Q213" s="12">
        <v>1</v>
      </c>
      <c r="R213" s="12">
        <v>1</v>
      </c>
      <c r="S213" s="12">
        <v>2</v>
      </c>
      <c r="T213" s="1" t="s">
        <v>595</v>
      </c>
      <c r="U213" s="1" t="s">
        <v>596</v>
      </c>
      <c r="V213">
        <v>20260719</v>
      </c>
      <c r="W213">
        <v>46222.653275462966</v>
      </c>
    </row>
    <row r="214" spans="1:23" ht="45">
      <c r="A214" t="s">
        <v>363</v>
      </c>
      <c r="B214" t="s">
        <v>260</v>
      </c>
      <c r="C214" t="s">
        <v>18</v>
      </c>
      <c r="D214" t="s">
        <v>47</v>
      </c>
      <c r="E214" t="s">
        <v>250</v>
      </c>
      <c r="F214" s="1" t="s">
        <v>261</v>
      </c>
      <c r="G214" s="1" t="s">
        <v>262</v>
      </c>
      <c r="H214" s="1" t="s">
        <v>364</v>
      </c>
      <c r="I214">
        <v>35</v>
      </c>
      <c r="J214">
        <v>0</v>
      </c>
      <c r="K214">
        <v>5</v>
      </c>
      <c r="L214" s="11">
        <v>-0.14285700000000001</v>
      </c>
      <c r="M214" t="s">
        <v>598</v>
      </c>
      <c r="N214" s="12">
        <v>0</v>
      </c>
      <c r="O214" s="12">
        <v>3</v>
      </c>
      <c r="P214" s="12">
        <v>2</v>
      </c>
      <c r="Q214" s="12">
        <v>1</v>
      </c>
      <c r="R214" s="12">
        <v>1</v>
      </c>
      <c r="S214" s="12">
        <v>1</v>
      </c>
      <c r="T214" s="1" t="s">
        <v>595</v>
      </c>
      <c r="U214" s="1" t="s">
        <v>596</v>
      </c>
      <c r="V214">
        <v>20260719</v>
      </c>
      <c r="W214">
        <v>46222.653275462966</v>
      </c>
    </row>
    <row r="215" spans="1:23" ht="45">
      <c r="A215" t="s">
        <v>365</v>
      </c>
      <c r="B215" t="s">
        <v>265</v>
      </c>
      <c r="C215" t="s">
        <v>18</v>
      </c>
      <c r="D215" t="s">
        <v>47</v>
      </c>
      <c r="E215" t="s">
        <v>250</v>
      </c>
      <c r="F215" s="1" t="s">
        <v>266</v>
      </c>
      <c r="G215" s="1" t="s">
        <v>267</v>
      </c>
      <c r="H215" s="1" t="s">
        <v>366</v>
      </c>
      <c r="I215">
        <v>40</v>
      </c>
      <c r="J215">
        <v>0</v>
      </c>
      <c r="K215">
        <v>5</v>
      </c>
      <c r="L215" s="11">
        <v>-0.125</v>
      </c>
      <c r="M215" t="s">
        <v>594</v>
      </c>
      <c r="N215" s="12">
        <v>0</v>
      </c>
      <c r="O215" s="12">
        <v>3</v>
      </c>
      <c r="P215" s="12">
        <v>3</v>
      </c>
      <c r="Q215" s="12">
        <v>1</v>
      </c>
      <c r="R215" s="12">
        <v>2</v>
      </c>
      <c r="S215" s="12">
        <v>2</v>
      </c>
      <c r="T215" s="1" t="s">
        <v>595</v>
      </c>
      <c r="U215" s="1" t="s">
        <v>596</v>
      </c>
      <c r="V215">
        <v>20260719</v>
      </c>
      <c r="W215">
        <v>46222.653275462966</v>
      </c>
    </row>
    <row r="216" spans="1:23" ht="45">
      <c r="A216" t="s">
        <v>365</v>
      </c>
      <c r="B216" t="s">
        <v>265</v>
      </c>
      <c r="C216" t="s">
        <v>18</v>
      </c>
      <c r="D216" t="s">
        <v>47</v>
      </c>
      <c r="E216" t="s">
        <v>250</v>
      </c>
      <c r="F216" s="1" t="s">
        <v>266</v>
      </c>
      <c r="G216" s="1" t="s">
        <v>267</v>
      </c>
      <c r="H216" s="1" t="s">
        <v>366</v>
      </c>
      <c r="I216">
        <v>40</v>
      </c>
      <c r="J216">
        <v>0</v>
      </c>
      <c r="K216">
        <v>5</v>
      </c>
      <c r="L216" s="11">
        <v>-0.125</v>
      </c>
      <c r="M216" t="s">
        <v>597</v>
      </c>
      <c r="N216" s="12">
        <v>0</v>
      </c>
      <c r="O216" s="12">
        <v>3</v>
      </c>
      <c r="P216" s="12">
        <v>3</v>
      </c>
      <c r="Q216" s="12">
        <v>0</v>
      </c>
      <c r="R216" s="12">
        <v>2</v>
      </c>
      <c r="S216" s="12">
        <v>2</v>
      </c>
      <c r="T216" s="1" t="s">
        <v>595</v>
      </c>
      <c r="U216" s="1" t="s">
        <v>596</v>
      </c>
      <c r="V216">
        <v>20260719</v>
      </c>
      <c r="W216">
        <v>46222.653275462966</v>
      </c>
    </row>
    <row r="217" spans="1:23" ht="45">
      <c r="A217" t="s">
        <v>365</v>
      </c>
      <c r="B217" t="s">
        <v>265</v>
      </c>
      <c r="C217" t="s">
        <v>18</v>
      </c>
      <c r="D217" t="s">
        <v>47</v>
      </c>
      <c r="E217" t="s">
        <v>250</v>
      </c>
      <c r="F217" s="1" t="s">
        <v>266</v>
      </c>
      <c r="G217" s="1" t="s">
        <v>267</v>
      </c>
      <c r="H217" s="1" t="s">
        <v>366</v>
      </c>
      <c r="I217">
        <v>40</v>
      </c>
      <c r="J217">
        <v>0</v>
      </c>
      <c r="K217">
        <v>5</v>
      </c>
      <c r="L217" s="11">
        <v>-0.125</v>
      </c>
      <c r="M217" t="s">
        <v>598</v>
      </c>
      <c r="N217" s="12">
        <v>0</v>
      </c>
      <c r="O217" s="12">
        <v>2</v>
      </c>
      <c r="P217" s="12">
        <v>3</v>
      </c>
      <c r="Q217" s="12">
        <v>0</v>
      </c>
      <c r="R217" s="12">
        <v>2</v>
      </c>
      <c r="S217" s="12">
        <v>1</v>
      </c>
      <c r="T217" s="1" t="s">
        <v>595</v>
      </c>
      <c r="U217" s="1" t="s">
        <v>596</v>
      </c>
      <c r="V217">
        <v>20260719</v>
      </c>
      <c r="W217">
        <v>46222.653275462966</v>
      </c>
    </row>
    <row r="218" spans="1:23" ht="30">
      <c r="A218" t="s">
        <v>367</v>
      </c>
      <c r="B218" t="s">
        <v>142</v>
      </c>
      <c r="C218" t="s">
        <v>19</v>
      </c>
      <c r="D218" t="s">
        <v>49</v>
      </c>
      <c r="E218" t="s">
        <v>143</v>
      </c>
      <c r="F218" s="1" t="s">
        <v>144</v>
      </c>
      <c r="G218" s="1" t="s">
        <v>145</v>
      </c>
      <c r="H218" s="1" t="s">
        <v>368</v>
      </c>
      <c r="I218">
        <v>25</v>
      </c>
      <c r="J218">
        <v>0</v>
      </c>
      <c r="K218">
        <v>2</v>
      </c>
      <c r="L218" s="11">
        <v>-0.08</v>
      </c>
      <c r="M218" t="s">
        <v>594</v>
      </c>
      <c r="N218" s="12">
        <v>0</v>
      </c>
      <c r="O218" s="12">
        <v>2</v>
      </c>
      <c r="P218" s="12">
        <v>3</v>
      </c>
      <c r="Q218" s="12">
        <v>0</v>
      </c>
      <c r="R218" s="12">
        <v>2</v>
      </c>
      <c r="S218" s="12">
        <v>3</v>
      </c>
      <c r="T218" s="1" t="s">
        <v>595</v>
      </c>
      <c r="U218" s="1" t="s">
        <v>596</v>
      </c>
      <c r="V218">
        <v>20260719</v>
      </c>
      <c r="W218">
        <v>46222.653275462966</v>
      </c>
    </row>
    <row r="219" spans="1:23" ht="30">
      <c r="A219" t="s">
        <v>367</v>
      </c>
      <c r="B219" t="s">
        <v>142</v>
      </c>
      <c r="C219" t="s">
        <v>19</v>
      </c>
      <c r="D219" t="s">
        <v>49</v>
      </c>
      <c r="E219" t="s">
        <v>143</v>
      </c>
      <c r="F219" s="1" t="s">
        <v>144</v>
      </c>
      <c r="G219" s="1" t="s">
        <v>145</v>
      </c>
      <c r="H219" s="1" t="s">
        <v>368</v>
      </c>
      <c r="I219">
        <v>25</v>
      </c>
      <c r="J219">
        <v>0</v>
      </c>
      <c r="K219">
        <v>2</v>
      </c>
      <c r="L219" s="11">
        <v>-0.08</v>
      </c>
      <c r="M219" t="s">
        <v>597</v>
      </c>
      <c r="N219" s="12">
        <v>0</v>
      </c>
      <c r="O219" s="12">
        <v>3</v>
      </c>
      <c r="P219" s="12">
        <v>3</v>
      </c>
      <c r="Q219" s="12">
        <v>0</v>
      </c>
      <c r="R219" s="12">
        <v>2</v>
      </c>
      <c r="S219" s="12">
        <v>3</v>
      </c>
      <c r="T219" s="1" t="s">
        <v>595</v>
      </c>
      <c r="U219" s="1" t="s">
        <v>596</v>
      </c>
      <c r="V219">
        <v>20260719</v>
      </c>
      <c r="W219">
        <v>46222.653275462966</v>
      </c>
    </row>
    <row r="220" spans="1:23" ht="30">
      <c r="A220" t="s">
        <v>367</v>
      </c>
      <c r="B220" t="s">
        <v>142</v>
      </c>
      <c r="C220" t="s">
        <v>19</v>
      </c>
      <c r="D220" t="s">
        <v>49</v>
      </c>
      <c r="E220" t="s">
        <v>143</v>
      </c>
      <c r="F220" s="1" t="s">
        <v>144</v>
      </c>
      <c r="G220" s="1" t="s">
        <v>145</v>
      </c>
      <c r="H220" s="1" t="s">
        <v>368</v>
      </c>
      <c r="I220">
        <v>25</v>
      </c>
      <c r="J220">
        <v>0</v>
      </c>
      <c r="K220">
        <v>2</v>
      </c>
      <c r="L220" s="11">
        <v>-0.08</v>
      </c>
      <c r="M220" t="s">
        <v>598</v>
      </c>
      <c r="N220" s="12">
        <v>0</v>
      </c>
      <c r="O220" s="12">
        <v>3</v>
      </c>
      <c r="P220" s="12">
        <v>3</v>
      </c>
      <c r="Q220" s="12">
        <v>0</v>
      </c>
      <c r="R220" s="12">
        <v>2</v>
      </c>
      <c r="S220" s="12">
        <v>3</v>
      </c>
      <c r="T220" s="1" t="s">
        <v>595</v>
      </c>
      <c r="U220" s="1" t="s">
        <v>596</v>
      </c>
      <c r="V220">
        <v>20260719</v>
      </c>
      <c r="W220">
        <v>46222.653275462966</v>
      </c>
    </row>
    <row r="221" spans="1:23" ht="30">
      <c r="A221" t="s">
        <v>370</v>
      </c>
      <c r="B221" t="s">
        <v>149</v>
      </c>
      <c r="C221" t="s">
        <v>19</v>
      </c>
      <c r="D221" t="s">
        <v>49</v>
      </c>
      <c r="E221" t="s">
        <v>143</v>
      </c>
      <c r="F221" s="1" t="s">
        <v>150</v>
      </c>
      <c r="G221" s="1" t="s">
        <v>151</v>
      </c>
      <c r="H221" s="1" t="s">
        <v>371</v>
      </c>
      <c r="I221">
        <v>26</v>
      </c>
      <c r="J221">
        <v>0</v>
      </c>
      <c r="K221">
        <v>2</v>
      </c>
      <c r="L221" s="11">
        <v>-7.6923000000000005E-2</v>
      </c>
      <c r="M221" t="s">
        <v>594</v>
      </c>
      <c r="N221" s="12">
        <v>1</v>
      </c>
      <c r="O221" s="12">
        <v>3</v>
      </c>
      <c r="P221" s="12">
        <v>3</v>
      </c>
      <c r="Q221" s="12">
        <v>1</v>
      </c>
      <c r="R221" s="12">
        <v>2</v>
      </c>
      <c r="S221" s="12">
        <v>3</v>
      </c>
      <c r="T221" s="1" t="s">
        <v>595</v>
      </c>
      <c r="U221" s="1" t="s">
        <v>596</v>
      </c>
      <c r="V221">
        <v>20260719</v>
      </c>
      <c r="W221">
        <v>46222.653275462966</v>
      </c>
    </row>
    <row r="222" spans="1:23" ht="30">
      <c r="A222" t="s">
        <v>370</v>
      </c>
      <c r="B222" t="s">
        <v>149</v>
      </c>
      <c r="C222" t="s">
        <v>19</v>
      </c>
      <c r="D222" t="s">
        <v>49</v>
      </c>
      <c r="E222" t="s">
        <v>143</v>
      </c>
      <c r="F222" s="1" t="s">
        <v>150</v>
      </c>
      <c r="G222" s="1" t="s">
        <v>151</v>
      </c>
      <c r="H222" s="1" t="s">
        <v>371</v>
      </c>
      <c r="I222">
        <v>26</v>
      </c>
      <c r="J222">
        <v>0</v>
      </c>
      <c r="K222">
        <v>2</v>
      </c>
      <c r="L222" s="11">
        <v>-7.6923000000000005E-2</v>
      </c>
      <c r="M222" t="s">
        <v>597</v>
      </c>
      <c r="N222" s="12">
        <v>1</v>
      </c>
      <c r="O222" s="12">
        <v>3</v>
      </c>
      <c r="P222" s="12">
        <v>3</v>
      </c>
      <c r="Q222" s="12">
        <v>1</v>
      </c>
      <c r="R222" s="12">
        <v>2</v>
      </c>
      <c r="S222" s="12">
        <v>3</v>
      </c>
      <c r="T222" s="1" t="s">
        <v>595</v>
      </c>
      <c r="U222" s="1" t="s">
        <v>596</v>
      </c>
      <c r="V222">
        <v>20260719</v>
      </c>
      <c r="W222">
        <v>46222.653275462966</v>
      </c>
    </row>
    <row r="223" spans="1:23" ht="30">
      <c r="A223" t="s">
        <v>370</v>
      </c>
      <c r="B223" t="s">
        <v>149</v>
      </c>
      <c r="C223" t="s">
        <v>19</v>
      </c>
      <c r="D223" t="s">
        <v>49</v>
      </c>
      <c r="E223" t="s">
        <v>143</v>
      </c>
      <c r="F223" s="1" t="s">
        <v>150</v>
      </c>
      <c r="G223" s="1" t="s">
        <v>151</v>
      </c>
      <c r="H223" s="1" t="s">
        <v>371</v>
      </c>
      <c r="I223">
        <v>26</v>
      </c>
      <c r="J223">
        <v>0</v>
      </c>
      <c r="K223">
        <v>2</v>
      </c>
      <c r="L223" s="11">
        <v>-7.6923000000000005E-2</v>
      </c>
      <c r="M223" t="s">
        <v>598</v>
      </c>
      <c r="N223" s="12">
        <v>2</v>
      </c>
      <c r="O223" s="12">
        <v>3</v>
      </c>
      <c r="P223" s="12">
        <v>3</v>
      </c>
      <c r="Q223" s="12">
        <v>1</v>
      </c>
      <c r="R223" s="12">
        <v>2</v>
      </c>
      <c r="S223" s="12">
        <v>3</v>
      </c>
      <c r="T223" s="1" t="s">
        <v>595</v>
      </c>
      <c r="U223" s="1" t="s">
        <v>596</v>
      </c>
      <c r="V223">
        <v>20260719</v>
      </c>
      <c r="W223">
        <v>46222.653275462966</v>
      </c>
    </row>
    <row r="224" spans="1:23" ht="30">
      <c r="A224" t="s">
        <v>372</v>
      </c>
      <c r="B224" t="s">
        <v>154</v>
      </c>
      <c r="C224" t="s">
        <v>19</v>
      </c>
      <c r="D224" t="s">
        <v>49</v>
      </c>
      <c r="E224" t="s">
        <v>143</v>
      </c>
      <c r="F224" s="1" t="s">
        <v>155</v>
      </c>
      <c r="G224" s="1" t="s">
        <v>156</v>
      </c>
      <c r="H224" s="1" t="s">
        <v>373</v>
      </c>
      <c r="I224">
        <v>23</v>
      </c>
      <c r="J224">
        <v>0</v>
      </c>
      <c r="K224">
        <v>2</v>
      </c>
      <c r="L224" s="11">
        <v>-8.6957000000000007E-2</v>
      </c>
      <c r="M224" t="s">
        <v>594</v>
      </c>
      <c r="N224" s="12">
        <v>0</v>
      </c>
      <c r="O224" s="12">
        <v>3</v>
      </c>
      <c r="P224" s="12">
        <v>3</v>
      </c>
      <c r="Q224" s="12">
        <v>0</v>
      </c>
      <c r="R224" s="12">
        <v>2</v>
      </c>
      <c r="S224" s="12">
        <v>3</v>
      </c>
      <c r="T224" s="1" t="s">
        <v>595</v>
      </c>
      <c r="U224" s="1" t="s">
        <v>596</v>
      </c>
      <c r="V224">
        <v>20260719</v>
      </c>
      <c r="W224">
        <v>46222.653275462966</v>
      </c>
    </row>
    <row r="225" spans="1:23" ht="30">
      <c r="A225" t="s">
        <v>372</v>
      </c>
      <c r="B225" t="s">
        <v>154</v>
      </c>
      <c r="C225" t="s">
        <v>19</v>
      </c>
      <c r="D225" t="s">
        <v>49</v>
      </c>
      <c r="E225" t="s">
        <v>143</v>
      </c>
      <c r="F225" s="1" t="s">
        <v>155</v>
      </c>
      <c r="G225" s="1" t="s">
        <v>156</v>
      </c>
      <c r="H225" s="1" t="s">
        <v>373</v>
      </c>
      <c r="I225">
        <v>23</v>
      </c>
      <c r="J225">
        <v>0</v>
      </c>
      <c r="K225">
        <v>2</v>
      </c>
      <c r="L225" s="11">
        <v>-8.6957000000000007E-2</v>
      </c>
      <c r="M225" t="s">
        <v>597</v>
      </c>
      <c r="N225" s="12">
        <v>0</v>
      </c>
      <c r="O225" s="12">
        <v>3</v>
      </c>
      <c r="P225" s="12">
        <v>3</v>
      </c>
      <c r="Q225" s="12">
        <v>1</v>
      </c>
      <c r="R225" s="12">
        <v>2</v>
      </c>
      <c r="S225" s="12">
        <v>3</v>
      </c>
      <c r="T225" s="1" t="s">
        <v>595</v>
      </c>
      <c r="U225" s="1" t="s">
        <v>596</v>
      </c>
      <c r="V225">
        <v>20260719</v>
      </c>
      <c r="W225">
        <v>46222.653275462966</v>
      </c>
    </row>
    <row r="226" spans="1:23" ht="30">
      <c r="A226" t="s">
        <v>372</v>
      </c>
      <c r="B226" t="s">
        <v>154</v>
      </c>
      <c r="C226" t="s">
        <v>19</v>
      </c>
      <c r="D226" t="s">
        <v>49</v>
      </c>
      <c r="E226" t="s">
        <v>143</v>
      </c>
      <c r="F226" s="1" t="s">
        <v>155</v>
      </c>
      <c r="G226" s="1" t="s">
        <v>156</v>
      </c>
      <c r="H226" s="1" t="s">
        <v>373</v>
      </c>
      <c r="I226">
        <v>23</v>
      </c>
      <c r="J226">
        <v>0</v>
      </c>
      <c r="K226">
        <v>2</v>
      </c>
      <c r="L226" s="11">
        <v>-8.6957000000000007E-2</v>
      </c>
      <c r="M226" t="s">
        <v>598</v>
      </c>
      <c r="N226" s="12">
        <v>0</v>
      </c>
      <c r="O226" s="12">
        <v>3</v>
      </c>
      <c r="P226" s="12">
        <v>3</v>
      </c>
      <c r="Q226" s="12">
        <v>0</v>
      </c>
      <c r="R226" s="12">
        <v>3</v>
      </c>
      <c r="S226" s="12">
        <v>3</v>
      </c>
      <c r="T226" s="1" t="s">
        <v>595</v>
      </c>
      <c r="U226" s="1" t="s">
        <v>596</v>
      </c>
      <c r="V226">
        <v>20260719</v>
      </c>
      <c r="W226">
        <v>46222.653275462966</v>
      </c>
    </row>
    <row r="227" spans="1:23" ht="30">
      <c r="A227" t="s">
        <v>374</v>
      </c>
      <c r="B227" t="s">
        <v>160</v>
      </c>
      <c r="C227" t="s">
        <v>19</v>
      </c>
      <c r="D227" t="s">
        <v>49</v>
      </c>
      <c r="E227" t="s">
        <v>143</v>
      </c>
      <c r="F227" s="1" t="s">
        <v>161</v>
      </c>
      <c r="G227" s="1" t="s">
        <v>162</v>
      </c>
      <c r="H227" s="1" t="s">
        <v>375</v>
      </c>
      <c r="I227">
        <v>25</v>
      </c>
      <c r="J227">
        <v>0</v>
      </c>
      <c r="K227">
        <v>2</v>
      </c>
      <c r="L227" s="11">
        <v>-0.08</v>
      </c>
      <c r="M227" t="s">
        <v>594</v>
      </c>
      <c r="N227" s="12">
        <v>0</v>
      </c>
      <c r="O227" s="12">
        <v>2</v>
      </c>
      <c r="P227" s="12">
        <v>2</v>
      </c>
      <c r="Q227" s="12">
        <v>0</v>
      </c>
      <c r="R227" s="12">
        <v>2</v>
      </c>
      <c r="S227" s="12">
        <v>2</v>
      </c>
      <c r="T227" s="1" t="s">
        <v>595</v>
      </c>
      <c r="U227" s="1" t="s">
        <v>596</v>
      </c>
      <c r="V227">
        <v>20260719</v>
      </c>
      <c r="W227">
        <v>46222.653275462966</v>
      </c>
    </row>
    <row r="228" spans="1:23" ht="30">
      <c r="A228" t="s">
        <v>374</v>
      </c>
      <c r="B228" t="s">
        <v>160</v>
      </c>
      <c r="C228" t="s">
        <v>19</v>
      </c>
      <c r="D228" t="s">
        <v>49</v>
      </c>
      <c r="E228" t="s">
        <v>143</v>
      </c>
      <c r="F228" s="1" t="s">
        <v>161</v>
      </c>
      <c r="G228" s="1" t="s">
        <v>162</v>
      </c>
      <c r="H228" s="1" t="s">
        <v>375</v>
      </c>
      <c r="I228">
        <v>25</v>
      </c>
      <c r="J228">
        <v>0</v>
      </c>
      <c r="K228">
        <v>2</v>
      </c>
      <c r="L228" s="11">
        <v>-0.08</v>
      </c>
      <c r="M228" t="s">
        <v>597</v>
      </c>
      <c r="N228" s="12">
        <v>1</v>
      </c>
      <c r="O228" s="12">
        <v>2</v>
      </c>
      <c r="P228" s="12">
        <v>3</v>
      </c>
      <c r="Q228" s="12">
        <v>1</v>
      </c>
      <c r="R228" s="12">
        <v>2</v>
      </c>
      <c r="S228" s="12">
        <v>2</v>
      </c>
      <c r="T228" s="1" t="s">
        <v>595</v>
      </c>
      <c r="U228" s="1" t="s">
        <v>596</v>
      </c>
      <c r="V228">
        <v>20260719</v>
      </c>
      <c r="W228">
        <v>46222.653275462966</v>
      </c>
    </row>
    <row r="229" spans="1:23" ht="30">
      <c r="A229" t="s">
        <v>374</v>
      </c>
      <c r="B229" t="s">
        <v>160</v>
      </c>
      <c r="C229" t="s">
        <v>19</v>
      </c>
      <c r="D229" t="s">
        <v>49</v>
      </c>
      <c r="E229" t="s">
        <v>143</v>
      </c>
      <c r="F229" s="1" t="s">
        <v>161</v>
      </c>
      <c r="G229" s="1" t="s">
        <v>162</v>
      </c>
      <c r="H229" s="1" t="s">
        <v>375</v>
      </c>
      <c r="I229">
        <v>25</v>
      </c>
      <c r="J229">
        <v>0</v>
      </c>
      <c r="K229">
        <v>2</v>
      </c>
      <c r="L229" s="11">
        <v>-0.08</v>
      </c>
      <c r="M229" t="s">
        <v>598</v>
      </c>
      <c r="N229" s="12">
        <v>0</v>
      </c>
      <c r="O229" s="12">
        <v>2</v>
      </c>
      <c r="P229" s="12">
        <v>3</v>
      </c>
      <c r="Q229" s="12">
        <v>0</v>
      </c>
      <c r="R229" s="12">
        <v>2</v>
      </c>
      <c r="S229" s="12">
        <v>2</v>
      </c>
      <c r="T229" s="1" t="s">
        <v>595</v>
      </c>
      <c r="U229" s="1" t="s">
        <v>596</v>
      </c>
      <c r="V229">
        <v>20260719</v>
      </c>
      <c r="W229">
        <v>46222.653275462966</v>
      </c>
    </row>
    <row r="230" spans="1:23" ht="30">
      <c r="A230" t="s">
        <v>376</v>
      </c>
      <c r="B230" t="s">
        <v>165</v>
      </c>
      <c r="C230" t="s">
        <v>19</v>
      </c>
      <c r="D230" t="s">
        <v>49</v>
      </c>
      <c r="E230" t="s">
        <v>166</v>
      </c>
      <c r="F230" s="1" t="s">
        <v>167</v>
      </c>
      <c r="G230" s="1" t="s">
        <v>168</v>
      </c>
      <c r="H230" s="1" t="s">
        <v>377</v>
      </c>
      <c r="I230">
        <v>27</v>
      </c>
      <c r="J230">
        <v>0</v>
      </c>
      <c r="K230">
        <v>2</v>
      </c>
      <c r="L230" s="11">
        <v>-7.4074000000000001E-2</v>
      </c>
      <c r="M230" t="s">
        <v>594</v>
      </c>
      <c r="N230" s="12">
        <v>0</v>
      </c>
      <c r="O230" s="12">
        <v>3</v>
      </c>
      <c r="P230" s="12">
        <v>3</v>
      </c>
      <c r="Q230" s="12">
        <v>0</v>
      </c>
      <c r="R230" s="12">
        <v>2</v>
      </c>
      <c r="S230" s="12">
        <v>2</v>
      </c>
      <c r="T230" s="1" t="s">
        <v>595</v>
      </c>
      <c r="U230" s="1" t="s">
        <v>596</v>
      </c>
      <c r="V230">
        <v>20260719</v>
      </c>
      <c r="W230">
        <v>46222.653275462966</v>
      </c>
    </row>
    <row r="231" spans="1:23" ht="30">
      <c r="A231" t="s">
        <v>376</v>
      </c>
      <c r="B231" t="s">
        <v>165</v>
      </c>
      <c r="C231" t="s">
        <v>19</v>
      </c>
      <c r="D231" t="s">
        <v>49</v>
      </c>
      <c r="E231" t="s">
        <v>166</v>
      </c>
      <c r="F231" s="1" t="s">
        <v>167</v>
      </c>
      <c r="G231" s="1" t="s">
        <v>168</v>
      </c>
      <c r="H231" s="1" t="s">
        <v>377</v>
      </c>
      <c r="I231">
        <v>27</v>
      </c>
      <c r="J231">
        <v>0</v>
      </c>
      <c r="K231">
        <v>2</v>
      </c>
      <c r="L231" s="11">
        <v>-7.4074000000000001E-2</v>
      </c>
      <c r="M231" t="s">
        <v>597</v>
      </c>
      <c r="N231" s="12">
        <v>0</v>
      </c>
      <c r="O231" s="12">
        <v>3</v>
      </c>
      <c r="P231" s="12">
        <v>3</v>
      </c>
      <c r="Q231" s="12">
        <v>1</v>
      </c>
      <c r="R231" s="12">
        <v>2</v>
      </c>
      <c r="S231" s="12">
        <v>2</v>
      </c>
      <c r="T231" s="1" t="s">
        <v>595</v>
      </c>
      <c r="U231" s="1" t="s">
        <v>596</v>
      </c>
      <c r="V231">
        <v>20260719</v>
      </c>
      <c r="W231">
        <v>46222.653275462966</v>
      </c>
    </row>
    <row r="232" spans="1:23" ht="30">
      <c r="A232" t="s">
        <v>376</v>
      </c>
      <c r="B232" t="s">
        <v>165</v>
      </c>
      <c r="C232" t="s">
        <v>19</v>
      </c>
      <c r="D232" t="s">
        <v>49</v>
      </c>
      <c r="E232" t="s">
        <v>166</v>
      </c>
      <c r="F232" s="1" t="s">
        <v>167</v>
      </c>
      <c r="G232" s="1" t="s">
        <v>168</v>
      </c>
      <c r="H232" s="1" t="s">
        <v>377</v>
      </c>
      <c r="I232">
        <v>27</v>
      </c>
      <c r="J232">
        <v>0</v>
      </c>
      <c r="K232">
        <v>2</v>
      </c>
      <c r="L232" s="11">
        <v>-7.4074000000000001E-2</v>
      </c>
      <c r="M232" t="s">
        <v>598</v>
      </c>
      <c r="N232" s="12">
        <v>0</v>
      </c>
      <c r="O232" s="12">
        <v>3</v>
      </c>
      <c r="P232" s="12">
        <v>3</v>
      </c>
      <c r="Q232" s="12">
        <v>1</v>
      </c>
      <c r="R232" s="12">
        <v>3</v>
      </c>
      <c r="S232" s="12">
        <v>3</v>
      </c>
      <c r="T232" s="1" t="s">
        <v>595</v>
      </c>
      <c r="U232" s="1" t="s">
        <v>596</v>
      </c>
      <c r="V232">
        <v>20260719</v>
      </c>
      <c r="W232">
        <v>46222.653275462966</v>
      </c>
    </row>
    <row r="233" spans="1:23" ht="30">
      <c r="A233" t="s">
        <v>378</v>
      </c>
      <c r="B233" t="s">
        <v>171</v>
      </c>
      <c r="C233" t="s">
        <v>19</v>
      </c>
      <c r="D233" t="s">
        <v>49</v>
      </c>
      <c r="E233" t="s">
        <v>166</v>
      </c>
      <c r="F233" s="1" t="s">
        <v>172</v>
      </c>
      <c r="G233" s="1" t="s">
        <v>173</v>
      </c>
      <c r="H233" s="1" t="s">
        <v>379</v>
      </c>
      <c r="I233">
        <v>26</v>
      </c>
      <c r="J233">
        <v>0</v>
      </c>
      <c r="K233">
        <v>2</v>
      </c>
      <c r="L233" s="11">
        <v>-7.6923000000000005E-2</v>
      </c>
      <c r="M233" t="s">
        <v>594</v>
      </c>
      <c r="N233" s="12">
        <v>1</v>
      </c>
      <c r="O233" s="12">
        <v>3</v>
      </c>
      <c r="P233" s="12">
        <v>3</v>
      </c>
      <c r="Q233" s="12">
        <v>0</v>
      </c>
      <c r="R233" s="12">
        <v>3</v>
      </c>
      <c r="S233" s="12">
        <v>3</v>
      </c>
      <c r="T233" s="1" t="s">
        <v>595</v>
      </c>
      <c r="U233" s="1" t="s">
        <v>596</v>
      </c>
      <c r="V233">
        <v>20260719</v>
      </c>
      <c r="W233">
        <v>46222.653275462966</v>
      </c>
    </row>
    <row r="234" spans="1:23" ht="30">
      <c r="A234" t="s">
        <v>378</v>
      </c>
      <c r="B234" t="s">
        <v>171</v>
      </c>
      <c r="C234" t="s">
        <v>19</v>
      </c>
      <c r="D234" t="s">
        <v>49</v>
      </c>
      <c r="E234" t="s">
        <v>166</v>
      </c>
      <c r="F234" s="1" t="s">
        <v>172</v>
      </c>
      <c r="G234" s="1" t="s">
        <v>173</v>
      </c>
      <c r="H234" s="1" t="s">
        <v>379</v>
      </c>
      <c r="I234">
        <v>26</v>
      </c>
      <c r="J234">
        <v>0</v>
      </c>
      <c r="K234">
        <v>2</v>
      </c>
      <c r="L234" s="11">
        <v>-7.6923000000000005E-2</v>
      </c>
      <c r="M234" t="s">
        <v>597</v>
      </c>
      <c r="N234" s="12">
        <v>0</v>
      </c>
      <c r="O234" s="12">
        <v>3</v>
      </c>
      <c r="P234" s="12">
        <v>3</v>
      </c>
      <c r="Q234" s="12">
        <v>0</v>
      </c>
      <c r="R234" s="12">
        <v>3</v>
      </c>
      <c r="S234" s="12">
        <v>3</v>
      </c>
      <c r="T234" s="1" t="s">
        <v>595</v>
      </c>
      <c r="U234" s="1" t="s">
        <v>596</v>
      </c>
      <c r="V234">
        <v>20260719</v>
      </c>
      <c r="W234">
        <v>46222.653275462966</v>
      </c>
    </row>
    <row r="235" spans="1:23" ht="30">
      <c r="A235" t="s">
        <v>378</v>
      </c>
      <c r="B235" t="s">
        <v>171</v>
      </c>
      <c r="C235" t="s">
        <v>19</v>
      </c>
      <c r="D235" t="s">
        <v>49</v>
      </c>
      <c r="E235" t="s">
        <v>166</v>
      </c>
      <c r="F235" s="1" t="s">
        <v>172</v>
      </c>
      <c r="G235" s="1" t="s">
        <v>173</v>
      </c>
      <c r="H235" s="1" t="s">
        <v>379</v>
      </c>
      <c r="I235">
        <v>26</v>
      </c>
      <c r="J235">
        <v>0</v>
      </c>
      <c r="K235">
        <v>2</v>
      </c>
      <c r="L235" s="11">
        <v>-7.6923000000000005E-2</v>
      </c>
      <c r="M235" t="s">
        <v>598</v>
      </c>
      <c r="N235" s="12">
        <v>1</v>
      </c>
      <c r="O235" s="12">
        <v>3</v>
      </c>
      <c r="P235" s="12">
        <v>3</v>
      </c>
      <c r="Q235" s="12">
        <v>0</v>
      </c>
      <c r="R235" s="12">
        <v>3</v>
      </c>
      <c r="S235" s="12">
        <v>3</v>
      </c>
      <c r="T235" s="1" t="s">
        <v>595</v>
      </c>
      <c r="U235" s="1" t="s">
        <v>596</v>
      </c>
      <c r="V235">
        <v>20260719</v>
      </c>
      <c r="W235">
        <v>46222.653275462966</v>
      </c>
    </row>
    <row r="236" spans="1:23" ht="30">
      <c r="A236" t="s">
        <v>380</v>
      </c>
      <c r="B236" t="s">
        <v>176</v>
      </c>
      <c r="C236" t="s">
        <v>19</v>
      </c>
      <c r="D236" t="s">
        <v>49</v>
      </c>
      <c r="E236" t="s">
        <v>166</v>
      </c>
      <c r="F236" s="1" t="s">
        <v>177</v>
      </c>
      <c r="G236" s="1" t="s">
        <v>178</v>
      </c>
      <c r="H236" s="1" t="s">
        <v>381</v>
      </c>
      <c r="I236">
        <v>26</v>
      </c>
      <c r="J236">
        <v>0</v>
      </c>
      <c r="K236">
        <v>2</v>
      </c>
      <c r="L236" s="11">
        <v>-7.6923000000000005E-2</v>
      </c>
      <c r="M236" t="s">
        <v>594</v>
      </c>
      <c r="N236" s="12">
        <v>1</v>
      </c>
      <c r="O236" s="12">
        <v>3</v>
      </c>
      <c r="P236" s="12">
        <v>3</v>
      </c>
      <c r="Q236" s="12">
        <v>1</v>
      </c>
      <c r="R236" s="12">
        <v>3</v>
      </c>
      <c r="S236" s="12">
        <v>2</v>
      </c>
      <c r="T236" s="1" t="s">
        <v>595</v>
      </c>
      <c r="U236" s="1" t="s">
        <v>596</v>
      </c>
      <c r="V236">
        <v>20260719</v>
      </c>
      <c r="W236">
        <v>46222.653275462966</v>
      </c>
    </row>
    <row r="237" spans="1:23" ht="30">
      <c r="A237" t="s">
        <v>380</v>
      </c>
      <c r="B237" t="s">
        <v>176</v>
      </c>
      <c r="C237" t="s">
        <v>19</v>
      </c>
      <c r="D237" t="s">
        <v>49</v>
      </c>
      <c r="E237" t="s">
        <v>166</v>
      </c>
      <c r="F237" s="1" t="s">
        <v>177</v>
      </c>
      <c r="G237" s="1" t="s">
        <v>178</v>
      </c>
      <c r="H237" s="1" t="s">
        <v>381</v>
      </c>
      <c r="I237">
        <v>26</v>
      </c>
      <c r="J237">
        <v>0</v>
      </c>
      <c r="K237">
        <v>2</v>
      </c>
      <c r="L237" s="11">
        <v>-7.6923000000000005E-2</v>
      </c>
      <c r="M237" t="s">
        <v>597</v>
      </c>
      <c r="N237" s="12">
        <v>1</v>
      </c>
      <c r="O237" s="12">
        <v>3</v>
      </c>
      <c r="P237" s="12">
        <v>3</v>
      </c>
      <c r="Q237" s="12">
        <v>1</v>
      </c>
      <c r="R237" s="12">
        <v>2</v>
      </c>
      <c r="S237" s="12">
        <v>2</v>
      </c>
      <c r="T237" s="1" t="s">
        <v>595</v>
      </c>
      <c r="U237" s="1" t="s">
        <v>596</v>
      </c>
      <c r="V237">
        <v>20260719</v>
      </c>
      <c r="W237">
        <v>46222.653275462966</v>
      </c>
    </row>
    <row r="238" spans="1:23" ht="30">
      <c r="A238" t="s">
        <v>380</v>
      </c>
      <c r="B238" t="s">
        <v>176</v>
      </c>
      <c r="C238" t="s">
        <v>19</v>
      </c>
      <c r="D238" t="s">
        <v>49</v>
      </c>
      <c r="E238" t="s">
        <v>166</v>
      </c>
      <c r="F238" s="1" t="s">
        <v>177</v>
      </c>
      <c r="G238" s="1" t="s">
        <v>178</v>
      </c>
      <c r="H238" s="1" t="s">
        <v>381</v>
      </c>
      <c r="I238">
        <v>26</v>
      </c>
      <c r="J238">
        <v>0</v>
      </c>
      <c r="K238">
        <v>2</v>
      </c>
      <c r="L238" s="11">
        <v>-7.6923000000000005E-2</v>
      </c>
      <c r="M238" t="s">
        <v>598</v>
      </c>
      <c r="N238" s="12">
        <v>0</v>
      </c>
      <c r="O238" s="12">
        <v>3</v>
      </c>
      <c r="P238" s="12">
        <v>3</v>
      </c>
      <c r="Q238" s="12">
        <v>1</v>
      </c>
      <c r="R238" s="12">
        <v>2</v>
      </c>
      <c r="S238" s="12">
        <v>2</v>
      </c>
      <c r="T238" s="1" t="s">
        <v>595</v>
      </c>
      <c r="U238" s="1" t="s">
        <v>596</v>
      </c>
      <c r="V238">
        <v>20260719</v>
      </c>
      <c r="W238">
        <v>46222.653275462966</v>
      </c>
    </row>
    <row r="239" spans="1:23" ht="30">
      <c r="A239" t="s">
        <v>382</v>
      </c>
      <c r="B239" t="s">
        <v>181</v>
      </c>
      <c r="C239" t="s">
        <v>19</v>
      </c>
      <c r="D239" t="s">
        <v>49</v>
      </c>
      <c r="E239" t="s">
        <v>166</v>
      </c>
      <c r="F239" s="1" t="s">
        <v>182</v>
      </c>
      <c r="G239" s="1" t="s">
        <v>183</v>
      </c>
      <c r="H239" s="1" t="s">
        <v>383</v>
      </c>
      <c r="I239">
        <v>24</v>
      </c>
      <c r="J239">
        <v>0</v>
      </c>
      <c r="K239">
        <v>2</v>
      </c>
      <c r="L239" s="11">
        <v>-8.3333000000000004E-2</v>
      </c>
      <c r="M239" t="s">
        <v>594</v>
      </c>
      <c r="N239" s="12">
        <v>1</v>
      </c>
      <c r="O239" s="12">
        <v>3</v>
      </c>
      <c r="P239" s="12">
        <v>3</v>
      </c>
      <c r="Q239" s="12">
        <v>1</v>
      </c>
      <c r="R239" s="12">
        <v>3</v>
      </c>
      <c r="S239" s="12">
        <v>2</v>
      </c>
      <c r="T239" s="1" t="s">
        <v>595</v>
      </c>
      <c r="U239" s="1" t="s">
        <v>596</v>
      </c>
      <c r="V239">
        <v>20260719</v>
      </c>
      <c r="W239">
        <v>46222.653275462966</v>
      </c>
    </row>
    <row r="240" spans="1:23" ht="30">
      <c r="A240" t="s">
        <v>382</v>
      </c>
      <c r="B240" t="s">
        <v>181</v>
      </c>
      <c r="C240" t="s">
        <v>19</v>
      </c>
      <c r="D240" t="s">
        <v>49</v>
      </c>
      <c r="E240" t="s">
        <v>166</v>
      </c>
      <c r="F240" s="1" t="s">
        <v>182</v>
      </c>
      <c r="G240" s="1" t="s">
        <v>183</v>
      </c>
      <c r="H240" s="1" t="s">
        <v>383</v>
      </c>
      <c r="I240">
        <v>24</v>
      </c>
      <c r="J240">
        <v>0</v>
      </c>
      <c r="K240">
        <v>2</v>
      </c>
      <c r="L240" s="11">
        <v>-8.3333000000000004E-2</v>
      </c>
      <c r="M240" t="s">
        <v>597</v>
      </c>
      <c r="N240" s="12">
        <v>0</v>
      </c>
      <c r="O240" s="12">
        <v>3</v>
      </c>
      <c r="P240" s="12">
        <v>3</v>
      </c>
      <c r="Q240" s="12">
        <v>0</v>
      </c>
      <c r="R240" s="12">
        <v>3</v>
      </c>
      <c r="S240" s="12">
        <v>3</v>
      </c>
      <c r="T240" s="1" t="s">
        <v>595</v>
      </c>
      <c r="U240" s="1" t="s">
        <v>596</v>
      </c>
      <c r="V240">
        <v>20260719</v>
      </c>
      <c r="W240">
        <v>46222.653275462966</v>
      </c>
    </row>
    <row r="241" spans="1:23" ht="30">
      <c r="A241" t="s">
        <v>382</v>
      </c>
      <c r="B241" t="s">
        <v>181</v>
      </c>
      <c r="C241" t="s">
        <v>19</v>
      </c>
      <c r="D241" t="s">
        <v>49</v>
      </c>
      <c r="E241" t="s">
        <v>166</v>
      </c>
      <c r="F241" s="1" t="s">
        <v>182</v>
      </c>
      <c r="G241" s="1" t="s">
        <v>183</v>
      </c>
      <c r="H241" s="1" t="s">
        <v>383</v>
      </c>
      <c r="I241">
        <v>24</v>
      </c>
      <c r="J241">
        <v>0</v>
      </c>
      <c r="K241">
        <v>2</v>
      </c>
      <c r="L241" s="11">
        <v>-8.3333000000000004E-2</v>
      </c>
      <c r="M241" t="s">
        <v>598</v>
      </c>
      <c r="N241" s="12">
        <v>1</v>
      </c>
      <c r="O241" s="12">
        <v>3</v>
      </c>
      <c r="P241" s="12">
        <v>3</v>
      </c>
      <c r="Q241" s="12">
        <v>0</v>
      </c>
      <c r="R241" s="12">
        <v>3</v>
      </c>
      <c r="S241" s="12">
        <v>2</v>
      </c>
      <c r="T241" s="1" t="s">
        <v>595</v>
      </c>
      <c r="U241" s="1" t="s">
        <v>596</v>
      </c>
      <c r="V241">
        <v>20260719</v>
      </c>
      <c r="W241">
        <v>46222.653275462966</v>
      </c>
    </row>
    <row r="242" spans="1:23" ht="30">
      <c r="A242" t="s">
        <v>384</v>
      </c>
      <c r="B242" t="s">
        <v>186</v>
      </c>
      <c r="C242" t="s">
        <v>19</v>
      </c>
      <c r="D242" t="s">
        <v>49</v>
      </c>
      <c r="E242" t="s">
        <v>187</v>
      </c>
      <c r="F242" s="1" t="s">
        <v>188</v>
      </c>
      <c r="G242" s="1" t="s">
        <v>189</v>
      </c>
      <c r="H242" s="1" t="s">
        <v>385</v>
      </c>
      <c r="I242">
        <v>31</v>
      </c>
      <c r="J242">
        <v>0</v>
      </c>
      <c r="K242">
        <v>2</v>
      </c>
      <c r="L242" s="11">
        <v>-6.4516000000000004E-2</v>
      </c>
      <c r="M242" t="s">
        <v>594</v>
      </c>
      <c r="N242" s="12">
        <v>1</v>
      </c>
      <c r="O242" s="12">
        <v>2</v>
      </c>
      <c r="P242" s="12">
        <v>2</v>
      </c>
      <c r="Q242" s="12">
        <v>2</v>
      </c>
      <c r="R242" s="12">
        <v>2</v>
      </c>
      <c r="S242" s="12">
        <v>2</v>
      </c>
      <c r="T242" s="1" t="s">
        <v>595</v>
      </c>
      <c r="U242" s="1" t="s">
        <v>596</v>
      </c>
      <c r="V242">
        <v>20260719</v>
      </c>
      <c r="W242">
        <v>46222.653275462966</v>
      </c>
    </row>
    <row r="243" spans="1:23" ht="30">
      <c r="A243" t="s">
        <v>384</v>
      </c>
      <c r="B243" t="s">
        <v>186</v>
      </c>
      <c r="C243" t="s">
        <v>19</v>
      </c>
      <c r="D243" t="s">
        <v>49</v>
      </c>
      <c r="E243" t="s">
        <v>187</v>
      </c>
      <c r="F243" s="1" t="s">
        <v>188</v>
      </c>
      <c r="G243" s="1" t="s">
        <v>189</v>
      </c>
      <c r="H243" s="1" t="s">
        <v>385</v>
      </c>
      <c r="I243">
        <v>31</v>
      </c>
      <c r="J243">
        <v>0</v>
      </c>
      <c r="K243">
        <v>2</v>
      </c>
      <c r="L243" s="11">
        <v>-6.4516000000000004E-2</v>
      </c>
      <c r="M243" t="s">
        <v>597</v>
      </c>
      <c r="N243" s="12">
        <v>0</v>
      </c>
      <c r="O243" s="12">
        <v>2</v>
      </c>
      <c r="P243" s="12">
        <v>2</v>
      </c>
      <c r="Q243" s="12">
        <v>1</v>
      </c>
      <c r="R243" s="12">
        <v>2</v>
      </c>
      <c r="S243" s="12">
        <v>2</v>
      </c>
      <c r="T243" s="1" t="s">
        <v>595</v>
      </c>
      <c r="U243" s="1" t="s">
        <v>596</v>
      </c>
      <c r="V243">
        <v>20260719</v>
      </c>
      <c r="W243">
        <v>46222.653275462966</v>
      </c>
    </row>
    <row r="244" spans="1:23" ht="30">
      <c r="A244" t="s">
        <v>384</v>
      </c>
      <c r="B244" t="s">
        <v>186</v>
      </c>
      <c r="C244" t="s">
        <v>19</v>
      </c>
      <c r="D244" t="s">
        <v>49</v>
      </c>
      <c r="E244" t="s">
        <v>187</v>
      </c>
      <c r="F244" s="1" t="s">
        <v>188</v>
      </c>
      <c r="G244" s="1" t="s">
        <v>189</v>
      </c>
      <c r="H244" s="1" t="s">
        <v>385</v>
      </c>
      <c r="I244">
        <v>31</v>
      </c>
      <c r="J244">
        <v>0</v>
      </c>
      <c r="K244">
        <v>2</v>
      </c>
      <c r="L244" s="11">
        <v>-6.4516000000000004E-2</v>
      </c>
      <c r="M244" t="s">
        <v>598</v>
      </c>
      <c r="N244" s="12">
        <v>1</v>
      </c>
      <c r="O244" s="12">
        <v>2</v>
      </c>
      <c r="P244" s="12">
        <v>2</v>
      </c>
      <c r="Q244" s="12">
        <v>2</v>
      </c>
      <c r="R244" s="12">
        <v>1</v>
      </c>
      <c r="S244" s="12">
        <v>2</v>
      </c>
      <c r="T244" s="1" t="s">
        <v>595</v>
      </c>
      <c r="U244" s="1" t="s">
        <v>596</v>
      </c>
      <c r="V244">
        <v>20260719</v>
      </c>
      <c r="W244">
        <v>46222.653275462966</v>
      </c>
    </row>
    <row r="245" spans="1:23" ht="30">
      <c r="A245" t="s">
        <v>386</v>
      </c>
      <c r="B245" t="s">
        <v>192</v>
      </c>
      <c r="C245" t="s">
        <v>19</v>
      </c>
      <c r="D245" t="s">
        <v>49</v>
      </c>
      <c r="E245" t="s">
        <v>187</v>
      </c>
      <c r="F245" s="1" t="s">
        <v>193</v>
      </c>
      <c r="G245" s="1" t="s">
        <v>194</v>
      </c>
      <c r="H245" s="1" t="s">
        <v>387</v>
      </c>
      <c r="I245">
        <v>23</v>
      </c>
      <c r="J245">
        <v>0</v>
      </c>
      <c r="K245">
        <v>2</v>
      </c>
      <c r="L245" s="11">
        <v>-8.6957000000000007E-2</v>
      </c>
      <c r="M245" t="s">
        <v>594</v>
      </c>
      <c r="N245" s="12">
        <v>0</v>
      </c>
      <c r="O245" s="12">
        <v>3</v>
      </c>
      <c r="P245" s="12">
        <v>3</v>
      </c>
      <c r="Q245" s="12">
        <v>0</v>
      </c>
      <c r="R245" s="12">
        <v>2</v>
      </c>
      <c r="S245" s="12">
        <v>2</v>
      </c>
      <c r="T245" s="1" t="s">
        <v>595</v>
      </c>
      <c r="U245" s="1" t="s">
        <v>596</v>
      </c>
      <c r="V245">
        <v>20260719</v>
      </c>
      <c r="W245">
        <v>46222.653275462966</v>
      </c>
    </row>
    <row r="246" spans="1:23" ht="30">
      <c r="A246" t="s">
        <v>386</v>
      </c>
      <c r="B246" t="s">
        <v>192</v>
      </c>
      <c r="C246" t="s">
        <v>19</v>
      </c>
      <c r="D246" t="s">
        <v>49</v>
      </c>
      <c r="E246" t="s">
        <v>187</v>
      </c>
      <c r="F246" s="1" t="s">
        <v>193</v>
      </c>
      <c r="G246" s="1" t="s">
        <v>194</v>
      </c>
      <c r="H246" s="1" t="s">
        <v>387</v>
      </c>
      <c r="I246">
        <v>23</v>
      </c>
      <c r="J246">
        <v>0</v>
      </c>
      <c r="K246">
        <v>2</v>
      </c>
      <c r="L246" s="11">
        <v>-8.6957000000000007E-2</v>
      </c>
      <c r="M246" t="s">
        <v>597</v>
      </c>
      <c r="N246" s="12">
        <v>0</v>
      </c>
      <c r="O246" s="12">
        <v>3</v>
      </c>
      <c r="P246" s="12">
        <v>3</v>
      </c>
      <c r="Q246" s="12">
        <v>0</v>
      </c>
      <c r="R246" s="12">
        <v>2</v>
      </c>
      <c r="S246" s="12">
        <v>2</v>
      </c>
      <c r="T246" s="1" t="s">
        <v>595</v>
      </c>
      <c r="U246" s="1" t="s">
        <v>596</v>
      </c>
      <c r="V246">
        <v>20260719</v>
      </c>
      <c r="W246">
        <v>46222.653275462966</v>
      </c>
    </row>
    <row r="247" spans="1:23" ht="30">
      <c r="A247" t="s">
        <v>386</v>
      </c>
      <c r="B247" t="s">
        <v>192</v>
      </c>
      <c r="C247" t="s">
        <v>19</v>
      </c>
      <c r="D247" t="s">
        <v>49</v>
      </c>
      <c r="E247" t="s">
        <v>187</v>
      </c>
      <c r="F247" s="1" t="s">
        <v>193</v>
      </c>
      <c r="G247" s="1" t="s">
        <v>194</v>
      </c>
      <c r="H247" s="1" t="s">
        <v>387</v>
      </c>
      <c r="I247">
        <v>23</v>
      </c>
      <c r="J247">
        <v>0</v>
      </c>
      <c r="K247">
        <v>2</v>
      </c>
      <c r="L247" s="11">
        <v>-8.6957000000000007E-2</v>
      </c>
      <c r="M247" t="s">
        <v>598</v>
      </c>
      <c r="N247" s="12">
        <v>0</v>
      </c>
      <c r="O247" s="12">
        <v>3</v>
      </c>
      <c r="P247" s="12">
        <v>3</v>
      </c>
      <c r="Q247" s="12">
        <v>1</v>
      </c>
      <c r="R247" s="12">
        <v>2</v>
      </c>
      <c r="S247" s="12">
        <v>2</v>
      </c>
      <c r="T247" s="1" t="s">
        <v>595</v>
      </c>
      <c r="U247" s="1" t="s">
        <v>596</v>
      </c>
      <c r="V247">
        <v>20260719</v>
      </c>
      <c r="W247">
        <v>46222.653275462966</v>
      </c>
    </row>
    <row r="248" spans="1:23" ht="30">
      <c r="A248" t="s">
        <v>388</v>
      </c>
      <c r="B248" t="s">
        <v>197</v>
      </c>
      <c r="C248" t="s">
        <v>19</v>
      </c>
      <c r="D248" t="s">
        <v>49</v>
      </c>
      <c r="E248" t="s">
        <v>187</v>
      </c>
      <c r="F248" s="1" t="s">
        <v>198</v>
      </c>
      <c r="G248" s="1" t="s">
        <v>199</v>
      </c>
      <c r="H248" s="1" t="s">
        <v>389</v>
      </c>
      <c r="I248">
        <v>27</v>
      </c>
      <c r="J248">
        <v>0</v>
      </c>
      <c r="K248">
        <v>2</v>
      </c>
      <c r="L248" s="11">
        <v>-7.4074000000000001E-2</v>
      </c>
      <c r="M248" t="s">
        <v>594</v>
      </c>
      <c r="N248" s="12">
        <v>1</v>
      </c>
      <c r="O248" s="12">
        <v>2</v>
      </c>
      <c r="P248" s="12">
        <v>3</v>
      </c>
      <c r="Q248" s="12">
        <v>1</v>
      </c>
      <c r="R248" s="12">
        <v>2</v>
      </c>
      <c r="S248" s="12">
        <v>3</v>
      </c>
      <c r="T248" s="1" t="s">
        <v>595</v>
      </c>
      <c r="U248" s="1" t="s">
        <v>596</v>
      </c>
      <c r="V248">
        <v>20260719</v>
      </c>
      <c r="W248">
        <v>46222.653275462966</v>
      </c>
    </row>
    <row r="249" spans="1:23" ht="30">
      <c r="A249" t="s">
        <v>388</v>
      </c>
      <c r="B249" t="s">
        <v>197</v>
      </c>
      <c r="C249" t="s">
        <v>19</v>
      </c>
      <c r="D249" t="s">
        <v>49</v>
      </c>
      <c r="E249" t="s">
        <v>187</v>
      </c>
      <c r="F249" s="1" t="s">
        <v>198</v>
      </c>
      <c r="G249" s="1" t="s">
        <v>199</v>
      </c>
      <c r="H249" s="1" t="s">
        <v>389</v>
      </c>
      <c r="I249">
        <v>27</v>
      </c>
      <c r="J249">
        <v>0</v>
      </c>
      <c r="K249">
        <v>2</v>
      </c>
      <c r="L249" s="11">
        <v>-7.4074000000000001E-2</v>
      </c>
      <c r="M249" t="s">
        <v>597</v>
      </c>
      <c r="N249" s="12">
        <v>1</v>
      </c>
      <c r="O249" s="12">
        <v>2</v>
      </c>
      <c r="P249" s="12">
        <v>3</v>
      </c>
      <c r="Q249" s="12">
        <v>1</v>
      </c>
      <c r="R249" s="12">
        <v>2</v>
      </c>
      <c r="S249" s="12">
        <v>3</v>
      </c>
      <c r="T249" s="1" t="s">
        <v>595</v>
      </c>
      <c r="U249" s="1" t="s">
        <v>596</v>
      </c>
      <c r="V249">
        <v>20260719</v>
      </c>
      <c r="W249">
        <v>46222.653275462966</v>
      </c>
    </row>
    <row r="250" spans="1:23" ht="30">
      <c r="A250" t="s">
        <v>388</v>
      </c>
      <c r="B250" t="s">
        <v>197</v>
      </c>
      <c r="C250" t="s">
        <v>19</v>
      </c>
      <c r="D250" t="s">
        <v>49</v>
      </c>
      <c r="E250" t="s">
        <v>187</v>
      </c>
      <c r="F250" s="1" t="s">
        <v>198</v>
      </c>
      <c r="G250" s="1" t="s">
        <v>199</v>
      </c>
      <c r="H250" s="1" t="s">
        <v>389</v>
      </c>
      <c r="I250">
        <v>27</v>
      </c>
      <c r="J250">
        <v>0</v>
      </c>
      <c r="K250">
        <v>2</v>
      </c>
      <c r="L250" s="11">
        <v>-7.4074000000000001E-2</v>
      </c>
      <c r="M250" t="s">
        <v>598</v>
      </c>
      <c r="N250" s="12">
        <v>1</v>
      </c>
      <c r="O250" s="12">
        <v>2</v>
      </c>
      <c r="P250" s="12">
        <v>3</v>
      </c>
      <c r="Q250" s="12">
        <v>2</v>
      </c>
      <c r="R250" s="12">
        <v>3</v>
      </c>
      <c r="S250" s="12">
        <v>3</v>
      </c>
      <c r="T250" s="1" t="s">
        <v>595</v>
      </c>
      <c r="U250" s="1" t="s">
        <v>596</v>
      </c>
      <c r="V250">
        <v>20260719</v>
      </c>
      <c r="W250">
        <v>46222.653275462966</v>
      </c>
    </row>
    <row r="251" spans="1:23" ht="30">
      <c r="A251" t="s">
        <v>390</v>
      </c>
      <c r="B251" t="s">
        <v>202</v>
      </c>
      <c r="C251" t="s">
        <v>19</v>
      </c>
      <c r="D251" t="s">
        <v>49</v>
      </c>
      <c r="E251" t="s">
        <v>187</v>
      </c>
      <c r="F251" s="1" t="s">
        <v>203</v>
      </c>
      <c r="G251" s="1" t="s">
        <v>204</v>
      </c>
      <c r="H251" s="1" t="s">
        <v>391</v>
      </c>
      <c r="I251">
        <v>27</v>
      </c>
      <c r="J251">
        <v>0</v>
      </c>
      <c r="K251">
        <v>2</v>
      </c>
      <c r="L251" s="11">
        <v>-7.4074000000000001E-2</v>
      </c>
      <c r="M251" t="s">
        <v>594</v>
      </c>
      <c r="N251" s="12">
        <v>0</v>
      </c>
      <c r="O251" s="12">
        <v>3</v>
      </c>
      <c r="P251" s="12">
        <v>3</v>
      </c>
      <c r="Q251" s="12">
        <v>0</v>
      </c>
      <c r="R251" s="12">
        <v>2</v>
      </c>
      <c r="S251" s="12">
        <v>2</v>
      </c>
      <c r="T251" s="1" t="s">
        <v>595</v>
      </c>
      <c r="U251" s="1" t="s">
        <v>596</v>
      </c>
      <c r="V251">
        <v>20260719</v>
      </c>
      <c r="W251">
        <v>46222.653275462966</v>
      </c>
    </row>
    <row r="252" spans="1:23" ht="30">
      <c r="A252" t="s">
        <v>390</v>
      </c>
      <c r="B252" t="s">
        <v>202</v>
      </c>
      <c r="C252" t="s">
        <v>19</v>
      </c>
      <c r="D252" t="s">
        <v>49</v>
      </c>
      <c r="E252" t="s">
        <v>187</v>
      </c>
      <c r="F252" s="1" t="s">
        <v>203</v>
      </c>
      <c r="G252" s="1" t="s">
        <v>204</v>
      </c>
      <c r="H252" s="1" t="s">
        <v>391</v>
      </c>
      <c r="I252">
        <v>27</v>
      </c>
      <c r="J252">
        <v>0</v>
      </c>
      <c r="K252">
        <v>2</v>
      </c>
      <c r="L252" s="11">
        <v>-7.4074000000000001E-2</v>
      </c>
      <c r="M252" t="s">
        <v>597</v>
      </c>
      <c r="N252" s="12">
        <v>1</v>
      </c>
      <c r="O252" s="12">
        <v>3</v>
      </c>
      <c r="P252" s="12">
        <v>3</v>
      </c>
      <c r="Q252" s="12">
        <v>1</v>
      </c>
      <c r="R252" s="12">
        <v>3</v>
      </c>
      <c r="S252" s="12">
        <v>2</v>
      </c>
      <c r="T252" s="1" t="s">
        <v>595</v>
      </c>
      <c r="U252" s="1" t="s">
        <v>596</v>
      </c>
      <c r="V252">
        <v>20260719</v>
      </c>
      <c r="W252">
        <v>46222.653275462966</v>
      </c>
    </row>
    <row r="253" spans="1:23" ht="30">
      <c r="A253" t="s">
        <v>390</v>
      </c>
      <c r="B253" t="s">
        <v>202</v>
      </c>
      <c r="C253" t="s">
        <v>19</v>
      </c>
      <c r="D253" t="s">
        <v>49</v>
      </c>
      <c r="E253" t="s">
        <v>187</v>
      </c>
      <c r="F253" s="1" t="s">
        <v>203</v>
      </c>
      <c r="G253" s="1" t="s">
        <v>204</v>
      </c>
      <c r="H253" s="1" t="s">
        <v>391</v>
      </c>
      <c r="I253">
        <v>27</v>
      </c>
      <c r="J253">
        <v>0</v>
      </c>
      <c r="K253">
        <v>2</v>
      </c>
      <c r="L253" s="11">
        <v>-7.4074000000000001E-2</v>
      </c>
      <c r="M253" t="s">
        <v>598</v>
      </c>
      <c r="N253" s="12">
        <v>1</v>
      </c>
      <c r="O253" s="12">
        <v>3</v>
      </c>
      <c r="P253" s="12">
        <v>3</v>
      </c>
      <c r="Q253" s="12">
        <v>0</v>
      </c>
      <c r="R253" s="12">
        <v>2</v>
      </c>
      <c r="S253" s="12">
        <v>2</v>
      </c>
      <c r="T253" s="1" t="s">
        <v>595</v>
      </c>
      <c r="U253" s="1" t="s">
        <v>596</v>
      </c>
      <c r="V253">
        <v>20260719</v>
      </c>
      <c r="W253">
        <v>46222.653275462966</v>
      </c>
    </row>
    <row r="254" spans="1:23" ht="30">
      <c r="A254" t="s">
        <v>392</v>
      </c>
      <c r="B254" t="s">
        <v>207</v>
      </c>
      <c r="C254" t="s">
        <v>19</v>
      </c>
      <c r="D254" t="s">
        <v>49</v>
      </c>
      <c r="E254" t="s">
        <v>208</v>
      </c>
      <c r="F254" s="1" t="s">
        <v>209</v>
      </c>
      <c r="G254" s="1" t="s">
        <v>210</v>
      </c>
      <c r="H254" s="1" t="s">
        <v>393</v>
      </c>
      <c r="I254">
        <v>28</v>
      </c>
      <c r="J254">
        <v>0</v>
      </c>
      <c r="K254">
        <v>2</v>
      </c>
      <c r="L254" s="11">
        <v>-7.1429000000000006E-2</v>
      </c>
      <c r="M254" t="s">
        <v>594</v>
      </c>
      <c r="N254" s="12">
        <v>0</v>
      </c>
      <c r="O254" s="12">
        <v>2</v>
      </c>
      <c r="P254" s="12">
        <v>3</v>
      </c>
      <c r="Q254" s="12">
        <v>0</v>
      </c>
      <c r="R254" s="12">
        <v>1</v>
      </c>
      <c r="S254" s="12">
        <v>2</v>
      </c>
      <c r="T254" s="1" t="s">
        <v>595</v>
      </c>
      <c r="U254" s="1" t="s">
        <v>596</v>
      </c>
      <c r="V254">
        <v>20260719</v>
      </c>
      <c r="W254">
        <v>46222.653275462966</v>
      </c>
    </row>
    <row r="255" spans="1:23" ht="30">
      <c r="A255" t="s">
        <v>392</v>
      </c>
      <c r="B255" t="s">
        <v>207</v>
      </c>
      <c r="C255" t="s">
        <v>19</v>
      </c>
      <c r="D255" t="s">
        <v>49</v>
      </c>
      <c r="E255" t="s">
        <v>208</v>
      </c>
      <c r="F255" s="1" t="s">
        <v>209</v>
      </c>
      <c r="G255" s="1" t="s">
        <v>210</v>
      </c>
      <c r="H255" s="1" t="s">
        <v>393</v>
      </c>
      <c r="I255">
        <v>28</v>
      </c>
      <c r="J255">
        <v>0</v>
      </c>
      <c r="K255">
        <v>2</v>
      </c>
      <c r="L255" s="11">
        <v>-7.1429000000000006E-2</v>
      </c>
      <c r="M255" t="s">
        <v>597</v>
      </c>
      <c r="N255" s="12">
        <v>0</v>
      </c>
      <c r="O255" s="12">
        <v>2</v>
      </c>
      <c r="P255" s="12">
        <v>3</v>
      </c>
      <c r="Q255" s="12">
        <v>0</v>
      </c>
      <c r="R255" s="12">
        <v>1</v>
      </c>
      <c r="S255" s="12">
        <v>2</v>
      </c>
      <c r="T255" s="1" t="s">
        <v>595</v>
      </c>
      <c r="U255" s="1" t="s">
        <v>596</v>
      </c>
      <c r="V255">
        <v>20260719</v>
      </c>
      <c r="W255">
        <v>46222.653275462966</v>
      </c>
    </row>
    <row r="256" spans="1:23" ht="30">
      <c r="A256" t="s">
        <v>392</v>
      </c>
      <c r="B256" t="s">
        <v>207</v>
      </c>
      <c r="C256" t="s">
        <v>19</v>
      </c>
      <c r="D256" t="s">
        <v>49</v>
      </c>
      <c r="E256" t="s">
        <v>208</v>
      </c>
      <c r="F256" s="1" t="s">
        <v>209</v>
      </c>
      <c r="G256" s="1" t="s">
        <v>210</v>
      </c>
      <c r="H256" s="1" t="s">
        <v>393</v>
      </c>
      <c r="I256">
        <v>28</v>
      </c>
      <c r="J256">
        <v>0</v>
      </c>
      <c r="K256">
        <v>2</v>
      </c>
      <c r="L256" s="11">
        <v>-7.1429000000000006E-2</v>
      </c>
      <c r="M256" t="s">
        <v>598</v>
      </c>
      <c r="N256" s="12">
        <v>0</v>
      </c>
      <c r="O256" s="12">
        <v>2</v>
      </c>
      <c r="P256" s="12">
        <v>3</v>
      </c>
      <c r="Q256" s="12">
        <v>0</v>
      </c>
      <c r="R256" s="12">
        <v>1</v>
      </c>
      <c r="S256" s="12">
        <v>3</v>
      </c>
      <c r="T256" s="1" t="s">
        <v>595</v>
      </c>
      <c r="U256" s="1" t="s">
        <v>596</v>
      </c>
      <c r="V256">
        <v>20260719</v>
      </c>
      <c r="W256">
        <v>46222.653275462966</v>
      </c>
    </row>
    <row r="257" spans="1:23" ht="30">
      <c r="A257" t="s">
        <v>394</v>
      </c>
      <c r="B257" t="s">
        <v>213</v>
      </c>
      <c r="C257" t="s">
        <v>19</v>
      </c>
      <c r="D257" t="s">
        <v>49</v>
      </c>
      <c r="E257" t="s">
        <v>208</v>
      </c>
      <c r="F257" s="1" t="s">
        <v>214</v>
      </c>
      <c r="G257" s="1" t="s">
        <v>215</v>
      </c>
      <c r="H257" s="1" t="s">
        <v>395</v>
      </c>
      <c r="I257">
        <v>25</v>
      </c>
      <c r="J257">
        <v>0</v>
      </c>
      <c r="K257">
        <v>2</v>
      </c>
      <c r="L257" s="11">
        <v>-0.08</v>
      </c>
      <c r="M257" t="s">
        <v>594</v>
      </c>
      <c r="N257" s="12">
        <v>1</v>
      </c>
      <c r="O257" s="12">
        <v>2</v>
      </c>
      <c r="P257" s="12">
        <v>3</v>
      </c>
      <c r="Q257" s="12">
        <v>1</v>
      </c>
      <c r="R257" s="12">
        <v>2</v>
      </c>
      <c r="S257" s="12">
        <v>2</v>
      </c>
      <c r="T257" s="1" t="s">
        <v>595</v>
      </c>
      <c r="U257" s="1" t="s">
        <v>596</v>
      </c>
      <c r="V257">
        <v>20260719</v>
      </c>
      <c r="W257">
        <v>46222.653275462966</v>
      </c>
    </row>
    <row r="258" spans="1:23" ht="30">
      <c r="A258" t="s">
        <v>394</v>
      </c>
      <c r="B258" t="s">
        <v>213</v>
      </c>
      <c r="C258" t="s">
        <v>19</v>
      </c>
      <c r="D258" t="s">
        <v>49</v>
      </c>
      <c r="E258" t="s">
        <v>208</v>
      </c>
      <c r="F258" s="1" t="s">
        <v>214</v>
      </c>
      <c r="G258" s="1" t="s">
        <v>215</v>
      </c>
      <c r="H258" s="1" t="s">
        <v>395</v>
      </c>
      <c r="I258">
        <v>25</v>
      </c>
      <c r="J258">
        <v>0</v>
      </c>
      <c r="K258">
        <v>2</v>
      </c>
      <c r="L258" s="11">
        <v>-0.08</v>
      </c>
      <c r="M258" t="s">
        <v>597</v>
      </c>
      <c r="N258" s="12">
        <v>1</v>
      </c>
      <c r="O258" s="12">
        <v>2</v>
      </c>
      <c r="P258" s="12">
        <v>3</v>
      </c>
      <c r="Q258" s="12">
        <v>1</v>
      </c>
      <c r="R258" s="12">
        <v>2</v>
      </c>
      <c r="S258" s="12">
        <v>2</v>
      </c>
      <c r="T258" s="1" t="s">
        <v>595</v>
      </c>
      <c r="U258" s="1" t="s">
        <v>596</v>
      </c>
      <c r="V258">
        <v>20260719</v>
      </c>
      <c r="W258">
        <v>46222.653275462966</v>
      </c>
    </row>
    <row r="259" spans="1:23" ht="30">
      <c r="A259" t="s">
        <v>394</v>
      </c>
      <c r="B259" t="s">
        <v>213</v>
      </c>
      <c r="C259" t="s">
        <v>19</v>
      </c>
      <c r="D259" t="s">
        <v>49</v>
      </c>
      <c r="E259" t="s">
        <v>208</v>
      </c>
      <c r="F259" s="1" t="s">
        <v>214</v>
      </c>
      <c r="G259" s="1" t="s">
        <v>215</v>
      </c>
      <c r="H259" s="1" t="s">
        <v>395</v>
      </c>
      <c r="I259">
        <v>25</v>
      </c>
      <c r="J259">
        <v>0</v>
      </c>
      <c r="K259">
        <v>2</v>
      </c>
      <c r="L259" s="11">
        <v>-0.08</v>
      </c>
      <c r="M259" t="s">
        <v>598</v>
      </c>
      <c r="N259" s="12">
        <v>1</v>
      </c>
      <c r="O259" s="12">
        <v>2</v>
      </c>
      <c r="P259" s="12">
        <v>3</v>
      </c>
      <c r="Q259" s="12">
        <v>2</v>
      </c>
      <c r="R259" s="12">
        <v>2</v>
      </c>
      <c r="S259" s="12">
        <v>2</v>
      </c>
      <c r="T259" s="1" t="s">
        <v>595</v>
      </c>
      <c r="U259" s="1" t="s">
        <v>596</v>
      </c>
      <c r="V259">
        <v>20260719</v>
      </c>
      <c r="W259">
        <v>46222.653275462966</v>
      </c>
    </row>
    <row r="260" spans="1:23" ht="30">
      <c r="A260" t="s">
        <v>396</v>
      </c>
      <c r="B260" t="s">
        <v>218</v>
      </c>
      <c r="C260" t="s">
        <v>19</v>
      </c>
      <c r="D260" t="s">
        <v>49</v>
      </c>
      <c r="E260" t="s">
        <v>208</v>
      </c>
      <c r="F260" s="1" t="s">
        <v>219</v>
      </c>
      <c r="G260" s="1" t="s">
        <v>220</v>
      </c>
      <c r="H260" s="1" t="s">
        <v>397</v>
      </c>
      <c r="I260">
        <v>25</v>
      </c>
      <c r="J260">
        <v>0</v>
      </c>
      <c r="K260">
        <v>2</v>
      </c>
      <c r="L260" s="11">
        <v>-0.08</v>
      </c>
      <c r="M260" t="s">
        <v>594</v>
      </c>
      <c r="N260" s="12">
        <v>2</v>
      </c>
      <c r="O260" s="12">
        <v>3</v>
      </c>
      <c r="P260" s="12">
        <v>2</v>
      </c>
      <c r="Q260" s="12">
        <v>2</v>
      </c>
      <c r="R260" s="12">
        <v>2</v>
      </c>
      <c r="S260" s="12">
        <v>3</v>
      </c>
      <c r="T260" s="1" t="s">
        <v>595</v>
      </c>
      <c r="U260" s="1" t="s">
        <v>596</v>
      </c>
      <c r="V260">
        <v>20260719</v>
      </c>
      <c r="W260">
        <v>46222.653275462966</v>
      </c>
    </row>
    <row r="261" spans="1:23" ht="30">
      <c r="A261" t="s">
        <v>396</v>
      </c>
      <c r="B261" t="s">
        <v>218</v>
      </c>
      <c r="C261" t="s">
        <v>19</v>
      </c>
      <c r="D261" t="s">
        <v>49</v>
      </c>
      <c r="E261" t="s">
        <v>208</v>
      </c>
      <c r="F261" s="1" t="s">
        <v>219</v>
      </c>
      <c r="G261" s="1" t="s">
        <v>220</v>
      </c>
      <c r="H261" s="1" t="s">
        <v>397</v>
      </c>
      <c r="I261">
        <v>25</v>
      </c>
      <c r="J261">
        <v>0</v>
      </c>
      <c r="K261">
        <v>2</v>
      </c>
      <c r="L261" s="11">
        <v>-0.08</v>
      </c>
      <c r="M261" t="s">
        <v>597</v>
      </c>
      <c r="N261" s="12">
        <v>2</v>
      </c>
      <c r="O261" s="12">
        <v>3</v>
      </c>
      <c r="P261" s="12">
        <v>3</v>
      </c>
      <c r="Q261" s="12">
        <v>2</v>
      </c>
      <c r="R261" s="12">
        <v>2</v>
      </c>
      <c r="S261" s="12">
        <v>2</v>
      </c>
      <c r="T261" s="1" t="s">
        <v>595</v>
      </c>
      <c r="U261" s="1" t="s">
        <v>596</v>
      </c>
      <c r="V261">
        <v>20260719</v>
      </c>
      <c r="W261">
        <v>46222.653275462966</v>
      </c>
    </row>
    <row r="262" spans="1:23" ht="30">
      <c r="A262" t="s">
        <v>396</v>
      </c>
      <c r="B262" t="s">
        <v>218</v>
      </c>
      <c r="C262" t="s">
        <v>19</v>
      </c>
      <c r="D262" t="s">
        <v>49</v>
      </c>
      <c r="E262" t="s">
        <v>208</v>
      </c>
      <c r="F262" s="1" t="s">
        <v>219</v>
      </c>
      <c r="G262" s="1" t="s">
        <v>220</v>
      </c>
      <c r="H262" s="1" t="s">
        <v>397</v>
      </c>
      <c r="I262">
        <v>25</v>
      </c>
      <c r="J262">
        <v>0</v>
      </c>
      <c r="K262">
        <v>2</v>
      </c>
      <c r="L262" s="11">
        <v>-0.08</v>
      </c>
      <c r="M262" t="s">
        <v>598</v>
      </c>
      <c r="N262" s="12">
        <v>2</v>
      </c>
      <c r="O262" s="12">
        <v>2</v>
      </c>
      <c r="P262" s="12">
        <v>2</v>
      </c>
      <c r="Q262" s="12">
        <v>2</v>
      </c>
      <c r="R262" s="12">
        <v>2</v>
      </c>
      <c r="S262" s="12">
        <v>2</v>
      </c>
      <c r="T262" s="1" t="s">
        <v>595</v>
      </c>
      <c r="U262" s="1" t="s">
        <v>596</v>
      </c>
      <c r="V262">
        <v>20260719</v>
      </c>
      <c r="W262">
        <v>46222.653275462966</v>
      </c>
    </row>
    <row r="263" spans="1:23" ht="30">
      <c r="A263" t="s">
        <v>398</v>
      </c>
      <c r="B263" t="s">
        <v>223</v>
      </c>
      <c r="C263" t="s">
        <v>19</v>
      </c>
      <c r="D263" t="s">
        <v>49</v>
      </c>
      <c r="E263" t="s">
        <v>208</v>
      </c>
      <c r="F263" s="1" t="s">
        <v>224</v>
      </c>
      <c r="G263" s="1" t="s">
        <v>225</v>
      </c>
      <c r="H263" s="1" t="s">
        <v>399</v>
      </c>
      <c r="I263">
        <v>28</v>
      </c>
      <c r="J263">
        <v>0</v>
      </c>
      <c r="K263">
        <v>2</v>
      </c>
      <c r="L263" s="11">
        <v>-7.1429000000000006E-2</v>
      </c>
      <c r="M263" t="s">
        <v>594</v>
      </c>
      <c r="N263" s="12">
        <v>1</v>
      </c>
      <c r="O263" s="12">
        <v>3</v>
      </c>
      <c r="P263" s="12">
        <v>3</v>
      </c>
      <c r="Q263" s="12">
        <v>1</v>
      </c>
      <c r="R263" s="12">
        <v>3</v>
      </c>
      <c r="S263" s="12">
        <v>3</v>
      </c>
      <c r="T263" s="1" t="s">
        <v>595</v>
      </c>
      <c r="U263" s="1" t="s">
        <v>596</v>
      </c>
      <c r="V263">
        <v>20260719</v>
      </c>
      <c r="W263">
        <v>46222.653275462966</v>
      </c>
    </row>
    <row r="264" spans="1:23" ht="30">
      <c r="A264" t="s">
        <v>398</v>
      </c>
      <c r="B264" t="s">
        <v>223</v>
      </c>
      <c r="C264" t="s">
        <v>19</v>
      </c>
      <c r="D264" t="s">
        <v>49</v>
      </c>
      <c r="E264" t="s">
        <v>208</v>
      </c>
      <c r="F264" s="1" t="s">
        <v>224</v>
      </c>
      <c r="G264" s="1" t="s">
        <v>225</v>
      </c>
      <c r="H264" s="1" t="s">
        <v>399</v>
      </c>
      <c r="I264">
        <v>28</v>
      </c>
      <c r="J264">
        <v>0</v>
      </c>
      <c r="K264">
        <v>2</v>
      </c>
      <c r="L264" s="11">
        <v>-7.1429000000000006E-2</v>
      </c>
      <c r="M264" t="s">
        <v>597</v>
      </c>
      <c r="N264" s="12">
        <v>1</v>
      </c>
      <c r="O264" s="12">
        <v>3</v>
      </c>
      <c r="P264" s="12">
        <v>3</v>
      </c>
      <c r="Q264" s="12">
        <v>2</v>
      </c>
      <c r="R264" s="12">
        <v>3</v>
      </c>
      <c r="S264" s="12">
        <v>3</v>
      </c>
      <c r="T264" s="1" t="s">
        <v>595</v>
      </c>
      <c r="U264" s="1" t="s">
        <v>596</v>
      </c>
      <c r="V264">
        <v>20260719</v>
      </c>
      <c r="W264">
        <v>46222.653275462966</v>
      </c>
    </row>
    <row r="265" spans="1:23" ht="30">
      <c r="A265" t="s">
        <v>398</v>
      </c>
      <c r="B265" t="s">
        <v>223</v>
      </c>
      <c r="C265" t="s">
        <v>19</v>
      </c>
      <c r="D265" t="s">
        <v>49</v>
      </c>
      <c r="E265" t="s">
        <v>208</v>
      </c>
      <c r="F265" s="1" t="s">
        <v>224</v>
      </c>
      <c r="G265" s="1" t="s">
        <v>225</v>
      </c>
      <c r="H265" s="1" t="s">
        <v>399</v>
      </c>
      <c r="I265">
        <v>28</v>
      </c>
      <c r="J265">
        <v>0</v>
      </c>
      <c r="K265">
        <v>2</v>
      </c>
      <c r="L265" s="11">
        <v>-7.1429000000000006E-2</v>
      </c>
      <c r="M265" t="s">
        <v>598</v>
      </c>
      <c r="N265" s="12">
        <v>1</v>
      </c>
      <c r="O265" s="12">
        <v>3</v>
      </c>
      <c r="P265" s="12">
        <v>3</v>
      </c>
      <c r="Q265" s="12">
        <v>2</v>
      </c>
      <c r="R265" s="12">
        <v>3</v>
      </c>
      <c r="S265" s="12">
        <v>3</v>
      </c>
      <c r="T265" s="1" t="s">
        <v>595</v>
      </c>
      <c r="U265" s="1" t="s">
        <v>596</v>
      </c>
      <c r="V265">
        <v>20260719</v>
      </c>
      <c r="W265">
        <v>46222.653275462966</v>
      </c>
    </row>
    <row r="266" spans="1:23" ht="30">
      <c r="A266" t="s">
        <v>400</v>
      </c>
      <c r="B266" t="s">
        <v>228</v>
      </c>
      <c r="C266" t="s">
        <v>19</v>
      </c>
      <c r="D266" t="s">
        <v>49</v>
      </c>
      <c r="E266" t="s">
        <v>229</v>
      </c>
      <c r="F266" s="1" t="s">
        <v>230</v>
      </c>
      <c r="G266" s="1" t="s">
        <v>231</v>
      </c>
      <c r="H266" s="1" t="s">
        <v>401</v>
      </c>
      <c r="I266">
        <v>24</v>
      </c>
      <c r="J266">
        <v>0</v>
      </c>
      <c r="K266">
        <v>2</v>
      </c>
      <c r="L266" s="11">
        <v>-8.3333000000000004E-2</v>
      </c>
      <c r="M266" t="s">
        <v>594</v>
      </c>
      <c r="N266" s="12">
        <v>1</v>
      </c>
      <c r="O266" s="12">
        <v>2</v>
      </c>
      <c r="P266" s="12">
        <v>3</v>
      </c>
      <c r="Q266" s="12">
        <v>1</v>
      </c>
      <c r="R266" s="12">
        <v>2</v>
      </c>
      <c r="S266" s="12">
        <v>2</v>
      </c>
      <c r="T266" s="1" t="s">
        <v>595</v>
      </c>
      <c r="U266" s="1" t="s">
        <v>596</v>
      </c>
      <c r="V266">
        <v>20260719</v>
      </c>
      <c r="W266">
        <v>46222.653275462966</v>
      </c>
    </row>
    <row r="267" spans="1:23" ht="30">
      <c r="A267" t="s">
        <v>400</v>
      </c>
      <c r="B267" t="s">
        <v>228</v>
      </c>
      <c r="C267" t="s">
        <v>19</v>
      </c>
      <c r="D267" t="s">
        <v>49</v>
      </c>
      <c r="E267" t="s">
        <v>229</v>
      </c>
      <c r="F267" s="1" t="s">
        <v>230</v>
      </c>
      <c r="G267" s="1" t="s">
        <v>231</v>
      </c>
      <c r="H267" s="1" t="s">
        <v>401</v>
      </c>
      <c r="I267">
        <v>24</v>
      </c>
      <c r="J267">
        <v>0</v>
      </c>
      <c r="K267">
        <v>2</v>
      </c>
      <c r="L267" s="11">
        <v>-8.3333000000000004E-2</v>
      </c>
      <c r="M267" t="s">
        <v>597</v>
      </c>
      <c r="N267" s="12">
        <v>1</v>
      </c>
      <c r="O267" s="12">
        <v>2</v>
      </c>
      <c r="P267" s="12">
        <v>2</v>
      </c>
      <c r="Q267" s="12">
        <v>1</v>
      </c>
      <c r="R267" s="12">
        <v>2</v>
      </c>
      <c r="S267" s="12">
        <v>2</v>
      </c>
      <c r="T267" s="1" t="s">
        <v>595</v>
      </c>
      <c r="U267" s="1" t="s">
        <v>596</v>
      </c>
      <c r="V267">
        <v>20260719</v>
      </c>
      <c r="W267">
        <v>46222.653275462966</v>
      </c>
    </row>
    <row r="268" spans="1:23" ht="30">
      <c r="A268" t="s">
        <v>400</v>
      </c>
      <c r="B268" t="s">
        <v>228</v>
      </c>
      <c r="C268" t="s">
        <v>19</v>
      </c>
      <c r="D268" t="s">
        <v>49</v>
      </c>
      <c r="E268" t="s">
        <v>229</v>
      </c>
      <c r="F268" s="1" t="s">
        <v>230</v>
      </c>
      <c r="G268" s="1" t="s">
        <v>231</v>
      </c>
      <c r="H268" s="1" t="s">
        <v>401</v>
      </c>
      <c r="I268">
        <v>24</v>
      </c>
      <c r="J268">
        <v>0</v>
      </c>
      <c r="K268">
        <v>2</v>
      </c>
      <c r="L268" s="11">
        <v>-8.3333000000000004E-2</v>
      </c>
      <c r="M268" t="s">
        <v>598</v>
      </c>
      <c r="N268" s="12">
        <v>1</v>
      </c>
      <c r="O268" s="12">
        <v>3</v>
      </c>
      <c r="P268" s="12">
        <v>3</v>
      </c>
      <c r="Q268" s="12">
        <v>1</v>
      </c>
      <c r="R268" s="12">
        <v>2</v>
      </c>
      <c r="S268" s="12">
        <v>2</v>
      </c>
      <c r="T268" s="1" t="s">
        <v>595</v>
      </c>
      <c r="U268" s="1" t="s">
        <v>596</v>
      </c>
      <c r="V268">
        <v>20260719</v>
      </c>
      <c r="W268">
        <v>46222.653275462966</v>
      </c>
    </row>
    <row r="269" spans="1:23" ht="30">
      <c r="A269" t="s">
        <v>402</v>
      </c>
      <c r="B269" t="s">
        <v>234</v>
      </c>
      <c r="C269" t="s">
        <v>19</v>
      </c>
      <c r="D269" t="s">
        <v>49</v>
      </c>
      <c r="E269" t="s">
        <v>229</v>
      </c>
      <c r="F269" s="1" t="s">
        <v>235</v>
      </c>
      <c r="G269" s="1" t="s">
        <v>236</v>
      </c>
      <c r="H269" s="1" t="s">
        <v>403</v>
      </c>
      <c r="I269">
        <v>30</v>
      </c>
      <c r="J269">
        <v>0</v>
      </c>
      <c r="K269">
        <v>2</v>
      </c>
      <c r="L269" s="11">
        <v>-6.6667000000000004E-2</v>
      </c>
      <c r="M269" t="s">
        <v>594</v>
      </c>
      <c r="N269" s="12">
        <v>0</v>
      </c>
      <c r="O269" s="12">
        <v>3</v>
      </c>
      <c r="P269" s="12">
        <v>2</v>
      </c>
      <c r="Q269" s="12">
        <v>0</v>
      </c>
      <c r="R269" s="12">
        <v>2</v>
      </c>
      <c r="S269" s="12">
        <v>2</v>
      </c>
      <c r="T269" s="1" t="s">
        <v>595</v>
      </c>
      <c r="U269" s="1" t="s">
        <v>596</v>
      </c>
      <c r="V269">
        <v>20260719</v>
      </c>
      <c r="W269">
        <v>46222.653275462966</v>
      </c>
    </row>
    <row r="270" spans="1:23" ht="30">
      <c r="A270" t="s">
        <v>402</v>
      </c>
      <c r="B270" t="s">
        <v>234</v>
      </c>
      <c r="C270" t="s">
        <v>19</v>
      </c>
      <c r="D270" t="s">
        <v>49</v>
      </c>
      <c r="E270" t="s">
        <v>229</v>
      </c>
      <c r="F270" s="1" t="s">
        <v>235</v>
      </c>
      <c r="G270" s="1" t="s">
        <v>236</v>
      </c>
      <c r="H270" s="1" t="s">
        <v>403</v>
      </c>
      <c r="I270">
        <v>30</v>
      </c>
      <c r="J270">
        <v>0</v>
      </c>
      <c r="K270">
        <v>2</v>
      </c>
      <c r="L270" s="11">
        <v>-6.6667000000000004E-2</v>
      </c>
      <c r="M270" t="s">
        <v>597</v>
      </c>
      <c r="N270" s="12">
        <v>1</v>
      </c>
      <c r="O270" s="12">
        <v>2</v>
      </c>
      <c r="P270" s="12">
        <v>2</v>
      </c>
      <c r="Q270" s="12">
        <v>0</v>
      </c>
      <c r="R270" s="12">
        <v>2</v>
      </c>
      <c r="S270" s="12">
        <v>2</v>
      </c>
      <c r="T270" s="1" t="s">
        <v>595</v>
      </c>
      <c r="U270" s="1" t="s">
        <v>596</v>
      </c>
      <c r="V270">
        <v>20260719</v>
      </c>
      <c r="W270">
        <v>46222.653275462966</v>
      </c>
    </row>
    <row r="271" spans="1:23" ht="30">
      <c r="A271" t="s">
        <v>402</v>
      </c>
      <c r="B271" t="s">
        <v>234</v>
      </c>
      <c r="C271" t="s">
        <v>19</v>
      </c>
      <c r="D271" t="s">
        <v>49</v>
      </c>
      <c r="E271" t="s">
        <v>229</v>
      </c>
      <c r="F271" s="1" t="s">
        <v>235</v>
      </c>
      <c r="G271" s="1" t="s">
        <v>236</v>
      </c>
      <c r="H271" s="1" t="s">
        <v>403</v>
      </c>
      <c r="I271">
        <v>30</v>
      </c>
      <c r="J271">
        <v>0</v>
      </c>
      <c r="K271">
        <v>2</v>
      </c>
      <c r="L271" s="11">
        <v>-6.6667000000000004E-2</v>
      </c>
      <c r="M271" t="s">
        <v>598</v>
      </c>
      <c r="N271" s="12">
        <v>1</v>
      </c>
      <c r="O271" s="12">
        <v>3</v>
      </c>
      <c r="P271" s="12">
        <v>2</v>
      </c>
      <c r="Q271" s="12">
        <v>1</v>
      </c>
      <c r="R271" s="12">
        <v>2</v>
      </c>
      <c r="S271" s="12">
        <v>3</v>
      </c>
      <c r="T271" s="1" t="s">
        <v>595</v>
      </c>
      <c r="U271" s="1" t="s">
        <v>596</v>
      </c>
      <c r="V271">
        <v>20260719</v>
      </c>
      <c r="W271">
        <v>46222.653275462966</v>
      </c>
    </row>
    <row r="272" spans="1:23" ht="30">
      <c r="A272" t="s">
        <v>404</v>
      </c>
      <c r="B272" t="s">
        <v>239</v>
      </c>
      <c r="C272" t="s">
        <v>19</v>
      </c>
      <c r="D272" t="s">
        <v>49</v>
      </c>
      <c r="E272" t="s">
        <v>229</v>
      </c>
      <c r="F272" s="1" t="s">
        <v>240</v>
      </c>
      <c r="G272" s="1" t="s">
        <v>241</v>
      </c>
      <c r="H272" s="1" t="s">
        <v>405</v>
      </c>
      <c r="I272">
        <v>28</v>
      </c>
      <c r="J272">
        <v>0</v>
      </c>
      <c r="K272">
        <v>2</v>
      </c>
      <c r="L272" s="11">
        <v>-7.1429000000000006E-2</v>
      </c>
      <c r="M272" t="s">
        <v>594</v>
      </c>
      <c r="N272" s="12">
        <v>1</v>
      </c>
      <c r="O272" s="12">
        <v>2</v>
      </c>
      <c r="P272" s="12">
        <v>3</v>
      </c>
      <c r="Q272" s="12">
        <v>0</v>
      </c>
      <c r="R272" s="12">
        <v>2</v>
      </c>
      <c r="S272" s="12">
        <v>2</v>
      </c>
      <c r="T272" s="1" t="s">
        <v>595</v>
      </c>
      <c r="U272" s="1" t="s">
        <v>596</v>
      </c>
      <c r="V272">
        <v>20260719</v>
      </c>
      <c r="W272">
        <v>46222.653275462966</v>
      </c>
    </row>
    <row r="273" spans="1:23" ht="30">
      <c r="A273" t="s">
        <v>404</v>
      </c>
      <c r="B273" t="s">
        <v>239</v>
      </c>
      <c r="C273" t="s">
        <v>19</v>
      </c>
      <c r="D273" t="s">
        <v>49</v>
      </c>
      <c r="E273" t="s">
        <v>229</v>
      </c>
      <c r="F273" s="1" t="s">
        <v>240</v>
      </c>
      <c r="G273" s="1" t="s">
        <v>241</v>
      </c>
      <c r="H273" s="1" t="s">
        <v>405</v>
      </c>
      <c r="I273">
        <v>28</v>
      </c>
      <c r="J273">
        <v>0</v>
      </c>
      <c r="K273">
        <v>2</v>
      </c>
      <c r="L273" s="11">
        <v>-7.1429000000000006E-2</v>
      </c>
      <c r="M273" t="s">
        <v>597</v>
      </c>
      <c r="N273" s="12">
        <v>2</v>
      </c>
      <c r="O273" s="12">
        <v>2</v>
      </c>
      <c r="P273" s="12">
        <v>2</v>
      </c>
      <c r="Q273" s="12">
        <v>1</v>
      </c>
      <c r="R273" s="12">
        <v>2</v>
      </c>
      <c r="S273" s="12">
        <v>2</v>
      </c>
      <c r="T273" s="1" t="s">
        <v>595</v>
      </c>
      <c r="U273" s="1" t="s">
        <v>596</v>
      </c>
      <c r="V273">
        <v>20260719</v>
      </c>
      <c r="W273">
        <v>46222.653275462966</v>
      </c>
    </row>
    <row r="274" spans="1:23" ht="30">
      <c r="A274" t="s">
        <v>404</v>
      </c>
      <c r="B274" t="s">
        <v>239</v>
      </c>
      <c r="C274" t="s">
        <v>19</v>
      </c>
      <c r="D274" t="s">
        <v>49</v>
      </c>
      <c r="E274" t="s">
        <v>229</v>
      </c>
      <c r="F274" s="1" t="s">
        <v>240</v>
      </c>
      <c r="G274" s="1" t="s">
        <v>241</v>
      </c>
      <c r="H274" s="1" t="s">
        <v>405</v>
      </c>
      <c r="I274">
        <v>28</v>
      </c>
      <c r="J274">
        <v>0</v>
      </c>
      <c r="K274">
        <v>2</v>
      </c>
      <c r="L274" s="11">
        <v>-7.1429000000000006E-2</v>
      </c>
      <c r="M274" t="s">
        <v>598</v>
      </c>
      <c r="N274" s="12">
        <v>1</v>
      </c>
      <c r="O274" s="12">
        <v>2</v>
      </c>
      <c r="P274" s="12">
        <v>3</v>
      </c>
      <c r="Q274" s="12">
        <v>1</v>
      </c>
      <c r="R274" s="12">
        <v>2</v>
      </c>
      <c r="S274" s="12">
        <v>2</v>
      </c>
      <c r="T274" s="1" t="s">
        <v>595</v>
      </c>
      <c r="U274" s="1" t="s">
        <v>596</v>
      </c>
      <c r="V274">
        <v>20260719</v>
      </c>
      <c r="W274">
        <v>46222.653275462966</v>
      </c>
    </row>
    <row r="275" spans="1:23" ht="30">
      <c r="A275" t="s">
        <v>406</v>
      </c>
      <c r="B275" t="s">
        <v>244</v>
      </c>
      <c r="C275" t="s">
        <v>19</v>
      </c>
      <c r="D275" t="s">
        <v>49</v>
      </c>
      <c r="E275" t="s">
        <v>229</v>
      </c>
      <c r="F275" s="1" t="s">
        <v>245</v>
      </c>
      <c r="G275" s="1" t="s">
        <v>246</v>
      </c>
      <c r="H275" s="1" t="s">
        <v>407</v>
      </c>
      <c r="I275">
        <v>24</v>
      </c>
      <c r="J275">
        <v>0</v>
      </c>
      <c r="K275">
        <v>2</v>
      </c>
      <c r="L275" s="11">
        <v>-8.3333000000000004E-2</v>
      </c>
      <c r="M275" t="s">
        <v>594</v>
      </c>
      <c r="N275" s="12">
        <v>0</v>
      </c>
      <c r="O275" s="12">
        <v>3</v>
      </c>
      <c r="P275" s="12">
        <v>3</v>
      </c>
      <c r="Q275" s="12">
        <v>1</v>
      </c>
      <c r="R275" s="12">
        <v>2</v>
      </c>
      <c r="S275" s="12">
        <v>3</v>
      </c>
      <c r="T275" s="1" t="s">
        <v>595</v>
      </c>
      <c r="U275" s="1" t="s">
        <v>596</v>
      </c>
      <c r="V275">
        <v>20260719</v>
      </c>
      <c r="W275">
        <v>46222.653275462966</v>
      </c>
    </row>
    <row r="276" spans="1:23" ht="30">
      <c r="A276" t="s">
        <v>406</v>
      </c>
      <c r="B276" t="s">
        <v>244</v>
      </c>
      <c r="C276" t="s">
        <v>19</v>
      </c>
      <c r="D276" t="s">
        <v>49</v>
      </c>
      <c r="E276" t="s">
        <v>229</v>
      </c>
      <c r="F276" s="1" t="s">
        <v>245</v>
      </c>
      <c r="G276" s="1" t="s">
        <v>246</v>
      </c>
      <c r="H276" s="1" t="s">
        <v>407</v>
      </c>
      <c r="I276">
        <v>24</v>
      </c>
      <c r="J276">
        <v>0</v>
      </c>
      <c r="K276">
        <v>2</v>
      </c>
      <c r="L276" s="11">
        <v>-8.3333000000000004E-2</v>
      </c>
      <c r="M276" t="s">
        <v>597</v>
      </c>
      <c r="N276" s="12">
        <v>1</v>
      </c>
      <c r="O276" s="12">
        <v>3</v>
      </c>
      <c r="P276" s="12">
        <v>3</v>
      </c>
      <c r="Q276" s="12">
        <v>1</v>
      </c>
      <c r="R276" s="12">
        <v>2</v>
      </c>
      <c r="S276" s="12">
        <v>3</v>
      </c>
      <c r="T276" s="1" t="s">
        <v>595</v>
      </c>
      <c r="U276" s="1" t="s">
        <v>596</v>
      </c>
      <c r="V276">
        <v>20260719</v>
      </c>
      <c r="W276">
        <v>46222.653275462966</v>
      </c>
    </row>
    <row r="277" spans="1:23" ht="30">
      <c r="A277" t="s">
        <v>406</v>
      </c>
      <c r="B277" t="s">
        <v>244</v>
      </c>
      <c r="C277" t="s">
        <v>19</v>
      </c>
      <c r="D277" t="s">
        <v>49</v>
      </c>
      <c r="E277" t="s">
        <v>229</v>
      </c>
      <c r="F277" s="1" t="s">
        <v>245</v>
      </c>
      <c r="G277" s="1" t="s">
        <v>246</v>
      </c>
      <c r="H277" s="1" t="s">
        <v>407</v>
      </c>
      <c r="I277">
        <v>24</v>
      </c>
      <c r="J277">
        <v>0</v>
      </c>
      <c r="K277">
        <v>2</v>
      </c>
      <c r="L277" s="11">
        <v>-8.3333000000000004E-2</v>
      </c>
      <c r="M277" t="s">
        <v>598</v>
      </c>
      <c r="N277" s="12">
        <v>0</v>
      </c>
      <c r="O277" s="12">
        <v>3</v>
      </c>
      <c r="P277" s="12">
        <v>3</v>
      </c>
      <c r="Q277" s="12">
        <v>1</v>
      </c>
      <c r="R277" s="12">
        <v>3</v>
      </c>
      <c r="S277" s="12">
        <v>3</v>
      </c>
      <c r="T277" s="1" t="s">
        <v>595</v>
      </c>
      <c r="U277" s="1" t="s">
        <v>596</v>
      </c>
      <c r="V277">
        <v>20260719</v>
      </c>
      <c r="W277">
        <v>46222.653275462966</v>
      </c>
    </row>
    <row r="278" spans="1:23" ht="30">
      <c r="A278" t="s">
        <v>408</v>
      </c>
      <c r="B278" t="s">
        <v>249</v>
      </c>
      <c r="C278" t="s">
        <v>19</v>
      </c>
      <c r="D278" t="s">
        <v>49</v>
      </c>
      <c r="E278" t="s">
        <v>250</v>
      </c>
      <c r="F278" s="1" t="s">
        <v>251</v>
      </c>
      <c r="G278" s="1" t="s">
        <v>252</v>
      </c>
      <c r="H278" s="1" t="s">
        <v>409</v>
      </c>
      <c r="I278">
        <v>23</v>
      </c>
      <c r="J278">
        <v>0</v>
      </c>
      <c r="K278">
        <v>2</v>
      </c>
      <c r="L278" s="11">
        <v>-8.6957000000000007E-2</v>
      </c>
      <c r="M278" t="s">
        <v>594</v>
      </c>
      <c r="N278" s="12">
        <v>0</v>
      </c>
      <c r="O278" s="12">
        <v>3</v>
      </c>
      <c r="P278" s="12">
        <v>2</v>
      </c>
      <c r="Q278" s="12">
        <v>0</v>
      </c>
      <c r="R278" s="12">
        <v>2</v>
      </c>
      <c r="S278" s="12">
        <v>3</v>
      </c>
      <c r="T278" s="1" t="s">
        <v>595</v>
      </c>
      <c r="U278" s="1" t="s">
        <v>596</v>
      </c>
      <c r="V278">
        <v>20260719</v>
      </c>
      <c r="W278">
        <v>46222.653275462966</v>
      </c>
    </row>
    <row r="279" spans="1:23" ht="30">
      <c r="A279" t="s">
        <v>408</v>
      </c>
      <c r="B279" t="s">
        <v>249</v>
      </c>
      <c r="C279" t="s">
        <v>19</v>
      </c>
      <c r="D279" t="s">
        <v>49</v>
      </c>
      <c r="E279" t="s">
        <v>250</v>
      </c>
      <c r="F279" s="1" t="s">
        <v>251</v>
      </c>
      <c r="G279" s="1" t="s">
        <v>252</v>
      </c>
      <c r="H279" s="1" t="s">
        <v>409</v>
      </c>
      <c r="I279">
        <v>23</v>
      </c>
      <c r="J279">
        <v>0</v>
      </c>
      <c r="K279">
        <v>2</v>
      </c>
      <c r="L279" s="11">
        <v>-8.6957000000000007E-2</v>
      </c>
      <c r="M279" t="s">
        <v>597</v>
      </c>
      <c r="N279" s="12">
        <v>0</v>
      </c>
      <c r="O279" s="12">
        <v>3</v>
      </c>
      <c r="P279" s="12">
        <v>2</v>
      </c>
      <c r="Q279" s="12">
        <v>0</v>
      </c>
      <c r="R279" s="12">
        <v>2</v>
      </c>
      <c r="S279" s="12">
        <v>3</v>
      </c>
      <c r="T279" s="1" t="s">
        <v>595</v>
      </c>
      <c r="U279" s="1" t="s">
        <v>596</v>
      </c>
      <c r="V279">
        <v>20260719</v>
      </c>
      <c r="W279">
        <v>46222.653275462966</v>
      </c>
    </row>
    <row r="280" spans="1:23" ht="30">
      <c r="A280" t="s">
        <v>408</v>
      </c>
      <c r="B280" t="s">
        <v>249</v>
      </c>
      <c r="C280" t="s">
        <v>19</v>
      </c>
      <c r="D280" t="s">
        <v>49</v>
      </c>
      <c r="E280" t="s">
        <v>250</v>
      </c>
      <c r="F280" s="1" t="s">
        <v>251</v>
      </c>
      <c r="G280" s="1" t="s">
        <v>252</v>
      </c>
      <c r="H280" s="1" t="s">
        <v>409</v>
      </c>
      <c r="I280">
        <v>23</v>
      </c>
      <c r="J280">
        <v>0</v>
      </c>
      <c r="K280">
        <v>2</v>
      </c>
      <c r="L280" s="11">
        <v>-8.6957000000000007E-2</v>
      </c>
      <c r="M280" t="s">
        <v>598</v>
      </c>
      <c r="N280" s="12">
        <v>0</v>
      </c>
      <c r="O280" s="12">
        <v>3</v>
      </c>
      <c r="P280" s="12">
        <v>2</v>
      </c>
      <c r="Q280" s="12">
        <v>0</v>
      </c>
      <c r="R280" s="12">
        <v>2</v>
      </c>
      <c r="S280" s="12">
        <v>3</v>
      </c>
      <c r="T280" s="1" t="s">
        <v>595</v>
      </c>
      <c r="U280" s="1" t="s">
        <v>596</v>
      </c>
      <c r="V280">
        <v>20260719</v>
      </c>
      <c r="W280">
        <v>46222.653275462966</v>
      </c>
    </row>
    <row r="281" spans="1:23" ht="30">
      <c r="A281" t="s">
        <v>410</v>
      </c>
      <c r="B281" t="s">
        <v>255</v>
      </c>
      <c r="C281" t="s">
        <v>19</v>
      </c>
      <c r="D281" t="s">
        <v>49</v>
      </c>
      <c r="E281" t="s">
        <v>250</v>
      </c>
      <c r="F281" s="1" t="s">
        <v>256</v>
      </c>
      <c r="G281" s="1" t="s">
        <v>257</v>
      </c>
      <c r="H281" s="1" t="s">
        <v>411</v>
      </c>
      <c r="I281">
        <v>28</v>
      </c>
      <c r="J281">
        <v>0</v>
      </c>
      <c r="K281">
        <v>2</v>
      </c>
      <c r="L281" s="11">
        <v>-7.1429000000000006E-2</v>
      </c>
      <c r="M281" t="s">
        <v>594</v>
      </c>
      <c r="N281" s="12">
        <v>0</v>
      </c>
      <c r="O281" s="12">
        <v>2</v>
      </c>
      <c r="P281" s="12">
        <v>3</v>
      </c>
      <c r="Q281" s="12">
        <v>0</v>
      </c>
      <c r="R281" s="12">
        <v>2</v>
      </c>
      <c r="S281" s="12">
        <v>3</v>
      </c>
      <c r="T281" s="1" t="s">
        <v>595</v>
      </c>
      <c r="U281" s="1" t="s">
        <v>596</v>
      </c>
      <c r="V281">
        <v>20260719</v>
      </c>
      <c r="W281">
        <v>46222.653275462966</v>
      </c>
    </row>
    <row r="282" spans="1:23" ht="30">
      <c r="A282" t="s">
        <v>410</v>
      </c>
      <c r="B282" t="s">
        <v>255</v>
      </c>
      <c r="C282" t="s">
        <v>19</v>
      </c>
      <c r="D282" t="s">
        <v>49</v>
      </c>
      <c r="E282" t="s">
        <v>250</v>
      </c>
      <c r="F282" s="1" t="s">
        <v>256</v>
      </c>
      <c r="G282" s="1" t="s">
        <v>257</v>
      </c>
      <c r="H282" s="1" t="s">
        <v>411</v>
      </c>
      <c r="I282">
        <v>28</v>
      </c>
      <c r="J282">
        <v>0</v>
      </c>
      <c r="K282">
        <v>2</v>
      </c>
      <c r="L282" s="11">
        <v>-7.1429000000000006E-2</v>
      </c>
      <c r="M282" t="s">
        <v>597</v>
      </c>
      <c r="N282" s="12">
        <v>0</v>
      </c>
      <c r="O282" s="12">
        <v>2</v>
      </c>
      <c r="P282" s="12">
        <v>2</v>
      </c>
      <c r="Q282" s="12">
        <v>1</v>
      </c>
      <c r="R282" s="12">
        <v>2</v>
      </c>
      <c r="S282" s="12">
        <v>3</v>
      </c>
      <c r="T282" s="1" t="s">
        <v>595</v>
      </c>
      <c r="U282" s="1" t="s">
        <v>596</v>
      </c>
      <c r="V282">
        <v>20260719</v>
      </c>
      <c r="W282">
        <v>46222.653275462966</v>
      </c>
    </row>
    <row r="283" spans="1:23" ht="30">
      <c r="A283" t="s">
        <v>410</v>
      </c>
      <c r="B283" t="s">
        <v>255</v>
      </c>
      <c r="C283" t="s">
        <v>19</v>
      </c>
      <c r="D283" t="s">
        <v>49</v>
      </c>
      <c r="E283" t="s">
        <v>250</v>
      </c>
      <c r="F283" s="1" t="s">
        <v>256</v>
      </c>
      <c r="G283" s="1" t="s">
        <v>257</v>
      </c>
      <c r="H283" s="1" t="s">
        <v>411</v>
      </c>
      <c r="I283">
        <v>28</v>
      </c>
      <c r="J283">
        <v>0</v>
      </c>
      <c r="K283">
        <v>2</v>
      </c>
      <c r="L283" s="11">
        <v>-7.1429000000000006E-2</v>
      </c>
      <c r="M283" t="s">
        <v>598</v>
      </c>
      <c r="N283" s="12">
        <v>0</v>
      </c>
      <c r="O283" s="12">
        <v>2</v>
      </c>
      <c r="P283" s="12">
        <v>3</v>
      </c>
      <c r="Q283" s="12">
        <v>0</v>
      </c>
      <c r="R283" s="12">
        <v>2</v>
      </c>
      <c r="S283" s="12">
        <v>3</v>
      </c>
      <c r="T283" s="1" t="s">
        <v>595</v>
      </c>
      <c r="U283" s="1" t="s">
        <v>596</v>
      </c>
      <c r="V283">
        <v>20260719</v>
      </c>
      <c r="W283">
        <v>46222.653275462966</v>
      </c>
    </row>
    <row r="284" spans="1:23" ht="30">
      <c r="A284" t="s">
        <v>412</v>
      </c>
      <c r="B284" t="s">
        <v>260</v>
      </c>
      <c r="C284" t="s">
        <v>19</v>
      </c>
      <c r="D284" t="s">
        <v>49</v>
      </c>
      <c r="E284" t="s">
        <v>250</v>
      </c>
      <c r="F284" s="1" t="s">
        <v>261</v>
      </c>
      <c r="G284" s="1" t="s">
        <v>262</v>
      </c>
      <c r="H284" s="1" t="s">
        <v>413</v>
      </c>
      <c r="I284">
        <v>23</v>
      </c>
      <c r="J284">
        <v>0</v>
      </c>
      <c r="K284">
        <v>2</v>
      </c>
      <c r="L284" s="11">
        <v>-8.6957000000000007E-2</v>
      </c>
      <c r="M284" t="s">
        <v>594</v>
      </c>
      <c r="N284" s="12">
        <v>0</v>
      </c>
      <c r="O284" s="12">
        <v>2</v>
      </c>
      <c r="P284" s="12">
        <v>3</v>
      </c>
      <c r="Q284" s="12">
        <v>1</v>
      </c>
      <c r="R284" s="12">
        <v>3</v>
      </c>
      <c r="S284" s="12">
        <v>2</v>
      </c>
      <c r="T284" s="1" t="s">
        <v>595</v>
      </c>
      <c r="U284" s="1" t="s">
        <v>596</v>
      </c>
      <c r="V284">
        <v>20260719</v>
      </c>
      <c r="W284">
        <v>46222.653275462966</v>
      </c>
    </row>
    <row r="285" spans="1:23" ht="30">
      <c r="A285" t="s">
        <v>412</v>
      </c>
      <c r="B285" t="s">
        <v>260</v>
      </c>
      <c r="C285" t="s">
        <v>19</v>
      </c>
      <c r="D285" t="s">
        <v>49</v>
      </c>
      <c r="E285" t="s">
        <v>250</v>
      </c>
      <c r="F285" s="1" t="s">
        <v>261</v>
      </c>
      <c r="G285" s="1" t="s">
        <v>262</v>
      </c>
      <c r="H285" s="1" t="s">
        <v>413</v>
      </c>
      <c r="I285">
        <v>23</v>
      </c>
      <c r="J285">
        <v>0</v>
      </c>
      <c r="K285">
        <v>2</v>
      </c>
      <c r="L285" s="11">
        <v>-8.6957000000000007E-2</v>
      </c>
      <c r="M285" t="s">
        <v>597</v>
      </c>
      <c r="N285" s="12">
        <v>0</v>
      </c>
      <c r="O285" s="12">
        <v>3</v>
      </c>
      <c r="P285" s="12">
        <v>3</v>
      </c>
      <c r="Q285" s="12">
        <v>1</v>
      </c>
      <c r="R285" s="12">
        <v>3</v>
      </c>
      <c r="S285" s="12">
        <v>2</v>
      </c>
      <c r="T285" s="1" t="s">
        <v>595</v>
      </c>
      <c r="U285" s="1" t="s">
        <v>596</v>
      </c>
      <c r="V285">
        <v>20260719</v>
      </c>
      <c r="W285">
        <v>46222.653275462966</v>
      </c>
    </row>
    <row r="286" spans="1:23" ht="30">
      <c r="A286" t="s">
        <v>412</v>
      </c>
      <c r="B286" t="s">
        <v>260</v>
      </c>
      <c r="C286" t="s">
        <v>19</v>
      </c>
      <c r="D286" t="s">
        <v>49</v>
      </c>
      <c r="E286" t="s">
        <v>250</v>
      </c>
      <c r="F286" s="1" t="s">
        <v>261</v>
      </c>
      <c r="G286" s="1" t="s">
        <v>262</v>
      </c>
      <c r="H286" s="1" t="s">
        <v>413</v>
      </c>
      <c r="I286">
        <v>23</v>
      </c>
      <c r="J286">
        <v>0</v>
      </c>
      <c r="K286">
        <v>2</v>
      </c>
      <c r="L286" s="11">
        <v>-8.6957000000000007E-2</v>
      </c>
      <c r="M286" t="s">
        <v>598</v>
      </c>
      <c r="N286" s="12">
        <v>1</v>
      </c>
      <c r="O286" s="12">
        <v>3</v>
      </c>
      <c r="P286" s="12">
        <v>3</v>
      </c>
      <c r="Q286" s="12">
        <v>1</v>
      </c>
      <c r="R286" s="12">
        <v>3</v>
      </c>
      <c r="S286" s="12">
        <v>2</v>
      </c>
      <c r="T286" s="1" t="s">
        <v>595</v>
      </c>
      <c r="U286" s="1" t="s">
        <v>596</v>
      </c>
      <c r="V286">
        <v>20260719</v>
      </c>
      <c r="W286">
        <v>46222.653275462966</v>
      </c>
    </row>
    <row r="287" spans="1:23" ht="30">
      <c r="A287" t="s">
        <v>414</v>
      </c>
      <c r="B287" t="s">
        <v>265</v>
      </c>
      <c r="C287" t="s">
        <v>19</v>
      </c>
      <c r="D287" t="s">
        <v>49</v>
      </c>
      <c r="E287" t="s">
        <v>250</v>
      </c>
      <c r="F287" s="1" t="s">
        <v>266</v>
      </c>
      <c r="G287" s="1" t="s">
        <v>267</v>
      </c>
      <c r="H287" s="1" t="s">
        <v>415</v>
      </c>
      <c r="I287">
        <v>28</v>
      </c>
      <c r="J287">
        <v>0</v>
      </c>
      <c r="K287">
        <v>2</v>
      </c>
      <c r="L287" s="11">
        <v>-7.1429000000000006E-2</v>
      </c>
      <c r="M287" t="s">
        <v>594</v>
      </c>
      <c r="N287" s="12">
        <v>1</v>
      </c>
      <c r="O287" s="12">
        <v>3</v>
      </c>
      <c r="P287" s="12">
        <v>3</v>
      </c>
      <c r="Q287" s="12">
        <v>0</v>
      </c>
      <c r="R287" s="12">
        <v>2</v>
      </c>
      <c r="S287" s="12">
        <v>2</v>
      </c>
      <c r="T287" s="1" t="s">
        <v>595</v>
      </c>
      <c r="U287" s="1" t="s">
        <v>596</v>
      </c>
      <c r="V287">
        <v>20260719</v>
      </c>
      <c r="W287">
        <v>46222.653275462966</v>
      </c>
    </row>
    <row r="288" spans="1:23" ht="30">
      <c r="A288" t="s">
        <v>414</v>
      </c>
      <c r="B288" t="s">
        <v>265</v>
      </c>
      <c r="C288" t="s">
        <v>19</v>
      </c>
      <c r="D288" t="s">
        <v>49</v>
      </c>
      <c r="E288" t="s">
        <v>250</v>
      </c>
      <c r="F288" s="1" t="s">
        <v>266</v>
      </c>
      <c r="G288" s="1" t="s">
        <v>267</v>
      </c>
      <c r="H288" s="1" t="s">
        <v>415</v>
      </c>
      <c r="I288">
        <v>28</v>
      </c>
      <c r="J288">
        <v>0</v>
      </c>
      <c r="K288">
        <v>2</v>
      </c>
      <c r="L288" s="11">
        <v>-7.1429000000000006E-2</v>
      </c>
      <c r="M288" t="s">
        <v>597</v>
      </c>
      <c r="N288" s="12">
        <v>1</v>
      </c>
      <c r="O288" s="12">
        <v>3</v>
      </c>
      <c r="P288" s="12">
        <v>3</v>
      </c>
      <c r="Q288" s="12">
        <v>1</v>
      </c>
      <c r="R288" s="12">
        <v>3</v>
      </c>
      <c r="S288" s="12">
        <v>2</v>
      </c>
      <c r="T288" s="1" t="s">
        <v>595</v>
      </c>
      <c r="U288" s="1" t="s">
        <v>596</v>
      </c>
      <c r="V288">
        <v>20260719</v>
      </c>
      <c r="W288">
        <v>46222.653275462966</v>
      </c>
    </row>
    <row r="289" spans="1:23" ht="30">
      <c r="A289" t="s">
        <v>414</v>
      </c>
      <c r="B289" t="s">
        <v>265</v>
      </c>
      <c r="C289" t="s">
        <v>19</v>
      </c>
      <c r="D289" t="s">
        <v>49</v>
      </c>
      <c r="E289" t="s">
        <v>250</v>
      </c>
      <c r="F289" s="1" t="s">
        <v>266</v>
      </c>
      <c r="G289" s="1" t="s">
        <v>267</v>
      </c>
      <c r="H289" s="1" t="s">
        <v>415</v>
      </c>
      <c r="I289">
        <v>28</v>
      </c>
      <c r="J289">
        <v>0</v>
      </c>
      <c r="K289">
        <v>2</v>
      </c>
      <c r="L289" s="11">
        <v>-7.1429000000000006E-2</v>
      </c>
      <c r="M289" t="s">
        <v>598</v>
      </c>
      <c r="N289" s="12">
        <v>1</v>
      </c>
      <c r="O289" s="12">
        <v>3</v>
      </c>
      <c r="P289" s="12">
        <v>2</v>
      </c>
      <c r="Q289" s="12">
        <v>1</v>
      </c>
      <c r="R289" s="12">
        <v>3</v>
      </c>
      <c r="S289" s="12">
        <v>3</v>
      </c>
      <c r="T289" s="1" t="s">
        <v>595</v>
      </c>
      <c r="U289" s="1" t="s">
        <v>596</v>
      </c>
      <c r="V289">
        <v>20260719</v>
      </c>
      <c r="W289">
        <v>46222.653275462966</v>
      </c>
    </row>
    <row r="290" spans="1:23" ht="45">
      <c r="A290" t="s">
        <v>416</v>
      </c>
      <c r="B290" t="s">
        <v>142</v>
      </c>
      <c r="C290" t="s">
        <v>20</v>
      </c>
      <c r="D290" t="s">
        <v>51</v>
      </c>
      <c r="E290" t="s">
        <v>143</v>
      </c>
      <c r="F290" s="1" t="s">
        <v>144</v>
      </c>
      <c r="G290" s="1" t="s">
        <v>145</v>
      </c>
      <c r="H290" s="1" t="s">
        <v>417</v>
      </c>
      <c r="I290">
        <v>29</v>
      </c>
      <c r="J290">
        <v>0</v>
      </c>
      <c r="K290">
        <v>1</v>
      </c>
      <c r="L290" s="11">
        <v>-3.4483E-2</v>
      </c>
      <c r="M290" t="s">
        <v>594</v>
      </c>
      <c r="N290" s="12">
        <v>2</v>
      </c>
      <c r="O290" s="12">
        <v>3</v>
      </c>
      <c r="P290" s="12">
        <v>3</v>
      </c>
      <c r="Q290" s="12">
        <v>2</v>
      </c>
      <c r="R290" s="12">
        <v>3</v>
      </c>
      <c r="S290" s="12">
        <v>2</v>
      </c>
      <c r="T290" s="1" t="s">
        <v>599</v>
      </c>
      <c r="U290" s="1" t="s">
        <v>596</v>
      </c>
      <c r="V290">
        <v>20260719</v>
      </c>
      <c r="W290">
        <v>46222.653275462966</v>
      </c>
    </row>
    <row r="291" spans="1:23" ht="45">
      <c r="A291" t="s">
        <v>416</v>
      </c>
      <c r="B291" t="s">
        <v>142</v>
      </c>
      <c r="C291" t="s">
        <v>20</v>
      </c>
      <c r="D291" t="s">
        <v>51</v>
      </c>
      <c r="E291" t="s">
        <v>143</v>
      </c>
      <c r="F291" s="1" t="s">
        <v>144</v>
      </c>
      <c r="G291" s="1" t="s">
        <v>145</v>
      </c>
      <c r="H291" s="1" t="s">
        <v>417</v>
      </c>
      <c r="I291">
        <v>29</v>
      </c>
      <c r="J291">
        <v>0</v>
      </c>
      <c r="K291">
        <v>1</v>
      </c>
      <c r="L291" s="11">
        <v>-3.4483E-2</v>
      </c>
      <c r="M291" t="s">
        <v>597</v>
      </c>
      <c r="N291" s="12">
        <v>2</v>
      </c>
      <c r="O291" s="12">
        <v>3</v>
      </c>
      <c r="P291" s="12">
        <v>3</v>
      </c>
      <c r="Q291" s="12">
        <v>2</v>
      </c>
      <c r="R291" s="12">
        <v>2</v>
      </c>
      <c r="S291" s="12">
        <v>2</v>
      </c>
      <c r="T291" s="1" t="s">
        <v>599</v>
      </c>
      <c r="U291" s="1" t="s">
        <v>596</v>
      </c>
      <c r="V291">
        <v>20260719</v>
      </c>
      <c r="W291">
        <v>46222.653275462966</v>
      </c>
    </row>
    <row r="292" spans="1:23" ht="45">
      <c r="A292" t="s">
        <v>416</v>
      </c>
      <c r="B292" t="s">
        <v>142</v>
      </c>
      <c r="C292" t="s">
        <v>20</v>
      </c>
      <c r="D292" t="s">
        <v>51</v>
      </c>
      <c r="E292" t="s">
        <v>143</v>
      </c>
      <c r="F292" s="1" t="s">
        <v>144</v>
      </c>
      <c r="G292" s="1" t="s">
        <v>145</v>
      </c>
      <c r="H292" s="1" t="s">
        <v>417</v>
      </c>
      <c r="I292">
        <v>29</v>
      </c>
      <c r="J292">
        <v>0</v>
      </c>
      <c r="K292">
        <v>1</v>
      </c>
      <c r="L292" s="11">
        <v>-3.4483E-2</v>
      </c>
      <c r="M292" t="s">
        <v>598</v>
      </c>
      <c r="N292" s="12">
        <v>2</v>
      </c>
      <c r="O292" s="12">
        <v>3</v>
      </c>
      <c r="P292" s="12">
        <v>3</v>
      </c>
      <c r="Q292" s="12">
        <v>2</v>
      </c>
      <c r="R292" s="12">
        <v>2</v>
      </c>
      <c r="S292" s="12">
        <v>2</v>
      </c>
      <c r="T292" s="1" t="s">
        <v>599</v>
      </c>
      <c r="U292" s="1" t="s">
        <v>596</v>
      </c>
      <c r="V292">
        <v>20260719</v>
      </c>
      <c r="W292">
        <v>46222.653275462966</v>
      </c>
    </row>
    <row r="293" spans="1:23" ht="45">
      <c r="A293" t="s">
        <v>419</v>
      </c>
      <c r="B293" t="s">
        <v>149</v>
      </c>
      <c r="C293" t="s">
        <v>20</v>
      </c>
      <c r="D293" t="s">
        <v>51</v>
      </c>
      <c r="E293" t="s">
        <v>143</v>
      </c>
      <c r="F293" s="1" t="s">
        <v>150</v>
      </c>
      <c r="G293" s="1" t="s">
        <v>151</v>
      </c>
      <c r="H293" s="1" t="s">
        <v>420</v>
      </c>
      <c r="I293">
        <v>30</v>
      </c>
      <c r="J293">
        <v>0</v>
      </c>
      <c r="K293">
        <v>1</v>
      </c>
      <c r="L293" s="11">
        <v>-3.3333000000000002E-2</v>
      </c>
      <c r="M293" t="s">
        <v>594</v>
      </c>
      <c r="N293" s="12">
        <v>1</v>
      </c>
      <c r="O293" s="12">
        <v>2</v>
      </c>
      <c r="P293" s="12">
        <v>3</v>
      </c>
      <c r="Q293" s="12">
        <v>1</v>
      </c>
      <c r="R293" s="12">
        <v>2</v>
      </c>
      <c r="S293" s="12">
        <v>3</v>
      </c>
      <c r="T293" s="1" t="s">
        <v>599</v>
      </c>
      <c r="U293" s="1" t="s">
        <v>596</v>
      </c>
      <c r="V293">
        <v>20260719</v>
      </c>
      <c r="W293">
        <v>46222.653275462966</v>
      </c>
    </row>
    <row r="294" spans="1:23" ht="45">
      <c r="A294" t="s">
        <v>419</v>
      </c>
      <c r="B294" t="s">
        <v>149</v>
      </c>
      <c r="C294" t="s">
        <v>20</v>
      </c>
      <c r="D294" t="s">
        <v>51</v>
      </c>
      <c r="E294" t="s">
        <v>143</v>
      </c>
      <c r="F294" s="1" t="s">
        <v>150</v>
      </c>
      <c r="G294" s="1" t="s">
        <v>151</v>
      </c>
      <c r="H294" s="1" t="s">
        <v>420</v>
      </c>
      <c r="I294">
        <v>30</v>
      </c>
      <c r="J294">
        <v>0</v>
      </c>
      <c r="K294">
        <v>1</v>
      </c>
      <c r="L294" s="11">
        <v>-3.3333000000000002E-2</v>
      </c>
      <c r="M294" t="s">
        <v>597</v>
      </c>
      <c r="N294" s="12">
        <v>1</v>
      </c>
      <c r="O294" s="12">
        <v>2</v>
      </c>
      <c r="P294" s="12">
        <v>3</v>
      </c>
      <c r="Q294" s="12">
        <v>1</v>
      </c>
      <c r="R294" s="12">
        <v>2</v>
      </c>
      <c r="S294" s="12">
        <v>2</v>
      </c>
      <c r="T294" s="1" t="s">
        <v>599</v>
      </c>
      <c r="U294" s="1" t="s">
        <v>596</v>
      </c>
      <c r="V294">
        <v>20260719</v>
      </c>
      <c r="W294">
        <v>46222.653275462966</v>
      </c>
    </row>
    <row r="295" spans="1:23" ht="45">
      <c r="A295" t="s">
        <v>419</v>
      </c>
      <c r="B295" t="s">
        <v>149</v>
      </c>
      <c r="C295" t="s">
        <v>20</v>
      </c>
      <c r="D295" t="s">
        <v>51</v>
      </c>
      <c r="E295" t="s">
        <v>143</v>
      </c>
      <c r="F295" s="1" t="s">
        <v>150</v>
      </c>
      <c r="G295" s="1" t="s">
        <v>151</v>
      </c>
      <c r="H295" s="1" t="s">
        <v>420</v>
      </c>
      <c r="I295">
        <v>30</v>
      </c>
      <c r="J295">
        <v>0</v>
      </c>
      <c r="K295">
        <v>1</v>
      </c>
      <c r="L295" s="11">
        <v>-3.3333000000000002E-2</v>
      </c>
      <c r="M295" t="s">
        <v>598</v>
      </c>
      <c r="N295" s="12">
        <v>1</v>
      </c>
      <c r="O295" s="12">
        <v>2</v>
      </c>
      <c r="P295" s="12">
        <v>3</v>
      </c>
      <c r="Q295" s="12">
        <v>1</v>
      </c>
      <c r="R295" s="12">
        <v>2</v>
      </c>
      <c r="S295" s="12">
        <v>3</v>
      </c>
      <c r="T295" s="1" t="s">
        <v>599</v>
      </c>
      <c r="U295" s="1" t="s">
        <v>596</v>
      </c>
      <c r="V295">
        <v>20260719</v>
      </c>
      <c r="W295">
        <v>46222.653275462966</v>
      </c>
    </row>
    <row r="296" spans="1:23" ht="30">
      <c r="A296" t="s">
        <v>421</v>
      </c>
      <c r="B296" t="s">
        <v>154</v>
      </c>
      <c r="C296" t="s">
        <v>20</v>
      </c>
      <c r="D296" t="s">
        <v>51</v>
      </c>
      <c r="E296" t="s">
        <v>143</v>
      </c>
      <c r="F296" s="1" t="s">
        <v>155</v>
      </c>
      <c r="G296" s="1" t="s">
        <v>156</v>
      </c>
      <c r="H296" s="1" t="s">
        <v>422</v>
      </c>
      <c r="I296">
        <v>25</v>
      </c>
      <c r="J296">
        <v>0</v>
      </c>
      <c r="K296">
        <v>1</v>
      </c>
      <c r="L296" s="11">
        <v>-0.04</v>
      </c>
      <c r="M296" t="s">
        <v>594</v>
      </c>
      <c r="N296" s="12">
        <v>1</v>
      </c>
      <c r="O296" s="12">
        <v>3</v>
      </c>
      <c r="P296" s="12">
        <v>3</v>
      </c>
      <c r="Q296" s="12">
        <v>1</v>
      </c>
      <c r="R296" s="12">
        <v>3</v>
      </c>
      <c r="S296" s="12">
        <v>3</v>
      </c>
      <c r="T296" s="1" t="s">
        <v>599</v>
      </c>
      <c r="U296" s="1" t="s">
        <v>596</v>
      </c>
      <c r="V296">
        <v>20260719</v>
      </c>
      <c r="W296">
        <v>46222.653275462966</v>
      </c>
    </row>
    <row r="297" spans="1:23" ht="30">
      <c r="A297" t="s">
        <v>421</v>
      </c>
      <c r="B297" t="s">
        <v>154</v>
      </c>
      <c r="C297" t="s">
        <v>20</v>
      </c>
      <c r="D297" t="s">
        <v>51</v>
      </c>
      <c r="E297" t="s">
        <v>143</v>
      </c>
      <c r="F297" s="1" t="s">
        <v>155</v>
      </c>
      <c r="G297" s="1" t="s">
        <v>156</v>
      </c>
      <c r="H297" s="1" t="s">
        <v>422</v>
      </c>
      <c r="I297">
        <v>25</v>
      </c>
      <c r="J297">
        <v>0</v>
      </c>
      <c r="K297">
        <v>1</v>
      </c>
      <c r="L297" s="11">
        <v>-0.04</v>
      </c>
      <c r="M297" t="s">
        <v>597</v>
      </c>
      <c r="N297" s="12">
        <v>1</v>
      </c>
      <c r="O297" s="12">
        <v>3</v>
      </c>
      <c r="P297" s="12">
        <v>3</v>
      </c>
      <c r="Q297" s="12">
        <v>1</v>
      </c>
      <c r="R297" s="12">
        <v>3</v>
      </c>
      <c r="S297" s="12">
        <v>2</v>
      </c>
      <c r="T297" s="1" t="s">
        <v>599</v>
      </c>
      <c r="U297" s="1" t="s">
        <v>596</v>
      </c>
      <c r="V297">
        <v>20260719</v>
      </c>
      <c r="W297">
        <v>46222.653275462966</v>
      </c>
    </row>
    <row r="298" spans="1:23" ht="30">
      <c r="A298" t="s">
        <v>421</v>
      </c>
      <c r="B298" t="s">
        <v>154</v>
      </c>
      <c r="C298" t="s">
        <v>20</v>
      </c>
      <c r="D298" t="s">
        <v>51</v>
      </c>
      <c r="E298" t="s">
        <v>143</v>
      </c>
      <c r="F298" s="1" t="s">
        <v>155</v>
      </c>
      <c r="G298" s="1" t="s">
        <v>156</v>
      </c>
      <c r="H298" s="1" t="s">
        <v>422</v>
      </c>
      <c r="I298">
        <v>25</v>
      </c>
      <c r="J298">
        <v>0</v>
      </c>
      <c r="K298">
        <v>1</v>
      </c>
      <c r="L298" s="11">
        <v>-0.04</v>
      </c>
      <c r="M298" t="s">
        <v>598</v>
      </c>
      <c r="N298" s="12">
        <v>1</v>
      </c>
      <c r="O298" s="12">
        <v>3</v>
      </c>
      <c r="P298" s="12">
        <v>3</v>
      </c>
      <c r="Q298" s="12">
        <v>1</v>
      </c>
      <c r="R298" s="12">
        <v>3</v>
      </c>
      <c r="S298" s="12">
        <v>3</v>
      </c>
      <c r="T298" s="1" t="s">
        <v>599</v>
      </c>
      <c r="U298" s="1" t="s">
        <v>596</v>
      </c>
      <c r="V298">
        <v>20260719</v>
      </c>
      <c r="W298">
        <v>46222.653275462966</v>
      </c>
    </row>
    <row r="299" spans="1:23" ht="30">
      <c r="A299" t="s">
        <v>423</v>
      </c>
      <c r="B299" t="s">
        <v>160</v>
      </c>
      <c r="C299" t="s">
        <v>20</v>
      </c>
      <c r="D299" t="s">
        <v>51</v>
      </c>
      <c r="E299" t="s">
        <v>143</v>
      </c>
      <c r="F299" s="1" t="s">
        <v>161</v>
      </c>
      <c r="G299" s="1" t="s">
        <v>162</v>
      </c>
      <c r="H299" s="1" t="s">
        <v>424</v>
      </c>
      <c r="I299">
        <v>29</v>
      </c>
      <c r="J299">
        <v>0</v>
      </c>
      <c r="K299">
        <v>1</v>
      </c>
      <c r="L299" s="11">
        <v>-3.4483E-2</v>
      </c>
      <c r="M299" t="s">
        <v>594</v>
      </c>
      <c r="N299" s="12">
        <v>0</v>
      </c>
      <c r="O299" s="12">
        <v>2</v>
      </c>
      <c r="P299" s="12">
        <v>2</v>
      </c>
      <c r="Q299" s="12">
        <v>1</v>
      </c>
      <c r="R299" s="12">
        <v>1</v>
      </c>
      <c r="S299" s="12">
        <v>2</v>
      </c>
      <c r="T299" s="1" t="s">
        <v>599</v>
      </c>
      <c r="U299" s="1" t="s">
        <v>596</v>
      </c>
      <c r="V299">
        <v>20260719</v>
      </c>
      <c r="W299">
        <v>46222.653275462966</v>
      </c>
    </row>
    <row r="300" spans="1:23" ht="30">
      <c r="A300" t="s">
        <v>423</v>
      </c>
      <c r="B300" t="s">
        <v>160</v>
      </c>
      <c r="C300" t="s">
        <v>20</v>
      </c>
      <c r="D300" t="s">
        <v>51</v>
      </c>
      <c r="E300" t="s">
        <v>143</v>
      </c>
      <c r="F300" s="1" t="s">
        <v>161</v>
      </c>
      <c r="G300" s="1" t="s">
        <v>162</v>
      </c>
      <c r="H300" s="1" t="s">
        <v>424</v>
      </c>
      <c r="I300">
        <v>29</v>
      </c>
      <c r="J300">
        <v>0</v>
      </c>
      <c r="K300">
        <v>1</v>
      </c>
      <c r="L300" s="11">
        <v>-3.4483E-2</v>
      </c>
      <c r="M300" t="s">
        <v>597</v>
      </c>
      <c r="N300" s="12">
        <v>0</v>
      </c>
      <c r="O300" s="12">
        <v>2</v>
      </c>
      <c r="P300" s="12">
        <v>2</v>
      </c>
      <c r="Q300" s="12">
        <v>1</v>
      </c>
      <c r="R300" s="12">
        <v>1</v>
      </c>
      <c r="S300" s="12">
        <v>2</v>
      </c>
      <c r="T300" s="1" t="s">
        <v>599</v>
      </c>
      <c r="U300" s="1" t="s">
        <v>596</v>
      </c>
      <c r="V300">
        <v>20260719</v>
      </c>
      <c r="W300">
        <v>46222.653275462966</v>
      </c>
    </row>
    <row r="301" spans="1:23" ht="30">
      <c r="A301" t="s">
        <v>423</v>
      </c>
      <c r="B301" t="s">
        <v>160</v>
      </c>
      <c r="C301" t="s">
        <v>20</v>
      </c>
      <c r="D301" t="s">
        <v>51</v>
      </c>
      <c r="E301" t="s">
        <v>143</v>
      </c>
      <c r="F301" s="1" t="s">
        <v>161</v>
      </c>
      <c r="G301" s="1" t="s">
        <v>162</v>
      </c>
      <c r="H301" s="1" t="s">
        <v>424</v>
      </c>
      <c r="I301">
        <v>29</v>
      </c>
      <c r="J301">
        <v>0</v>
      </c>
      <c r="K301">
        <v>1</v>
      </c>
      <c r="L301" s="11">
        <v>-3.4483E-2</v>
      </c>
      <c r="M301" t="s">
        <v>598</v>
      </c>
      <c r="N301" s="12">
        <v>1</v>
      </c>
      <c r="O301" s="12">
        <v>1</v>
      </c>
      <c r="P301" s="12">
        <v>2</v>
      </c>
      <c r="Q301" s="12">
        <v>1</v>
      </c>
      <c r="R301" s="12">
        <v>1</v>
      </c>
      <c r="S301" s="12">
        <v>2</v>
      </c>
      <c r="T301" s="1" t="s">
        <v>599</v>
      </c>
      <c r="U301" s="1" t="s">
        <v>596</v>
      </c>
      <c r="V301">
        <v>20260719</v>
      </c>
      <c r="W301">
        <v>46222.653275462966</v>
      </c>
    </row>
    <row r="302" spans="1:23" ht="45">
      <c r="A302" t="s">
        <v>425</v>
      </c>
      <c r="B302" t="s">
        <v>165</v>
      </c>
      <c r="C302" t="s">
        <v>20</v>
      </c>
      <c r="D302" t="s">
        <v>51</v>
      </c>
      <c r="E302" t="s">
        <v>166</v>
      </c>
      <c r="F302" s="1" t="s">
        <v>167</v>
      </c>
      <c r="G302" s="1" t="s">
        <v>168</v>
      </c>
      <c r="H302" s="1" t="s">
        <v>426</v>
      </c>
      <c r="I302">
        <v>30</v>
      </c>
      <c r="J302">
        <v>0</v>
      </c>
      <c r="K302">
        <v>1</v>
      </c>
      <c r="L302" s="11">
        <v>-3.3333000000000002E-2</v>
      </c>
      <c r="M302" t="s">
        <v>594</v>
      </c>
      <c r="N302" s="12">
        <v>1</v>
      </c>
      <c r="O302" s="12">
        <v>3</v>
      </c>
      <c r="P302" s="12">
        <v>2</v>
      </c>
      <c r="Q302" s="12">
        <v>1</v>
      </c>
      <c r="R302" s="12">
        <v>3</v>
      </c>
      <c r="S302" s="12">
        <v>2</v>
      </c>
      <c r="T302" s="1" t="s">
        <v>599</v>
      </c>
      <c r="U302" s="1" t="s">
        <v>596</v>
      </c>
      <c r="V302">
        <v>20260719</v>
      </c>
      <c r="W302">
        <v>46222.653275462966</v>
      </c>
    </row>
    <row r="303" spans="1:23" ht="45">
      <c r="A303" t="s">
        <v>425</v>
      </c>
      <c r="B303" t="s">
        <v>165</v>
      </c>
      <c r="C303" t="s">
        <v>20</v>
      </c>
      <c r="D303" t="s">
        <v>51</v>
      </c>
      <c r="E303" t="s">
        <v>166</v>
      </c>
      <c r="F303" s="1" t="s">
        <v>167</v>
      </c>
      <c r="G303" s="1" t="s">
        <v>168</v>
      </c>
      <c r="H303" s="1" t="s">
        <v>426</v>
      </c>
      <c r="I303">
        <v>30</v>
      </c>
      <c r="J303">
        <v>0</v>
      </c>
      <c r="K303">
        <v>1</v>
      </c>
      <c r="L303" s="11">
        <v>-3.3333000000000002E-2</v>
      </c>
      <c r="M303" t="s">
        <v>597</v>
      </c>
      <c r="N303" s="12">
        <v>1</v>
      </c>
      <c r="O303" s="12">
        <v>3</v>
      </c>
      <c r="P303" s="12">
        <v>2</v>
      </c>
      <c r="Q303" s="12">
        <v>2</v>
      </c>
      <c r="R303" s="12">
        <v>3</v>
      </c>
      <c r="S303" s="12">
        <v>3</v>
      </c>
      <c r="T303" s="1" t="s">
        <v>599</v>
      </c>
      <c r="U303" s="1" t="s">
        <v>596</v>
      </c>
      <c r="V303">
        <v>20260719</v>
      </c>
      <c r="W303">
        <v>46222.653275462966</v>
      </c>
    </row>
    <row r="304" spans="1:23" ht="45">
      <c r="A304" t="s">
        <v>425</v>
      </c>
      <c r="B304" t="s">
        <v>165</v>
      </c>
      <c r="C304" t="s">
        <v>20</v>
      </c>
      <c r="D304" t="s">
        <v>51</v>
      </c>
      <c r="E304" t="s">
        <v>166</v>
      </c>
      <c r="F304" s="1" t="s">
        <v>167</v>
      </c>
      <c r="G304" s="1" t="s">
        <v>168</v>
      </c>
      <c r="H304" s="1" t="s">
        <v>426</v>
      </c>
      <c r="I304">
        <v>30</v>
      </c>
      <c r="J304">
        <v>0</v>
      </c>
      <c r="K304">
        <v>1</v>
      </c>
      <c r="L304" s="11">
        <v>-3.3333000000000002E-2</v>
      </c>
      <c r="M304" t="s">
        <v>598</v>
      </c>
      <c r="N304" s="12">
        <v>1</v>
      </c>
      <c r="O304" s="12">
        <v>3</v>
      </c>
      <c r="P304" s="12">
        <v>2</v>
      </c>
      <c r="Q304" s="12">
        <v>2</v>
      </c>
      <c r="R304" s="12">
        <v>3</v>
      </c>
      <c r="S304" s="12">
        <v>3</v>
      </c>
      <c r="T304" s="1" t="s">
        <v>599</v>
      </c>
      <c r="U304" s="1" t="s">
        <v>596</v>
      </c>
      <c r="V304">
        <v>20260719</v>
      </c>
      <c r="W304">
        <v>46222.653275462966</v>
      </c>
    </row>
    <row r="305" spans="1:23" ht="45">
      <c r="A305" t="s">
        <v>427</v>
      </c>
      <c r="B305" t="s">
        <v>171</v>
      </c>
      <c r="C305" t="s">
        <v>20</v>
      </c>
      <c r="D305" t="s">
        <v>51</v>
      </c>
      <c r="E305" t="s">
        <v>166</v>
      </c>
      <c r="F305" s="1" t="s">
        <v>172</v>
      </c>
      <c r="G305" s="1" t="s">
        <v>173</v>
      </c>
      <c r="H305" s="1" t="s">
        <v>428</v>
      </c>
      <c r="I305">
        <v>29</v>
      </c>
      <c r="J305">
        <v>0</v>
      </c>
      <c r="K305">
        <v>1</v>
      </c>
      <c r="L305" s="11">
        <v>-3.4483E-2</v>
      </c>
      <c r="M305" t="s">
        <v>594</v>
      </c>
      <c r="N305" s="12">
        <v>0</v>
      </c>
      <c r="O305" s="12">
        <v>2</v>
      </c>
      <c r="P305" s="12">
        <v>3</v>
      </c>
      <c r="Q305" s="12">
        <v>1</v>
      </c>
      <c r="R305" s="12">
        <v>3</v>
      </c>
      <c r="S305" s="12">
        <v>3</v>
      </c>
      <c r="T305" s="1" t="s">
        <v>599</v>
      </c>
      <c r="U305" s="1" t="s">
        <v>596</v>
      </c>
      <c r="V305">
        <v>20260719</v>
      </c>
      <c r="W305">
        <v>46222.653275462966</v>
      </c>
    </row>
    <row r="306" spans="1:23" ht="45">
      <c r="A306" t="s">
        <v>427</v>
      </c>
      <c r="B306" t="s">
        <v>171</v>
      </c>
      <c r="C306" t="s">
        <v>20</v>
      </c>
      <c r="D306" t="s">
        <v>51</v>
      </c>
      <c r="E306" t="s">
        <v>166</v>
      </c>
      <c r="F306" s="1" t="s">
        <v>172</v>
      </c>
      <c r="G306" s="1" t="s">
        <v>173</v>
      </c>
      <c r="H306" s="1" t="s">
        <v>428</v>
      </c>
      <c r="I306">
        <v>29</v>
      </c>
      <c r="J306">
        <v>0</v>
      </c>
      <c r="K306">
        <v>1</v>
      </c>
      <c r="L306" s="11">
        <v>-3.4483E-2</v>
      </c>
      <c r="M306" t="s">
        <v>597</v>
      </c>
      <c r="N306" s="12">
        <v>1</v>
      </c>
      <c r="O306" s="12">
        <v>3</v>
      </c>
      <c r="P306" s="12">
        <v>3</v>
      </c>
      <c r="Q306" s="12">
        <v>0</v>
      </c>
      <c r="R306" s="12">
        <v>3</v>
      </c>
      <c r="S306" s="12">
        <v>3</v>
      </c>
      <c r="T306" s="1" t="s">
        <v>599</v>
      </c>
      <c r="U306" s="1" t="s">
        <v>596</v>
      </c>
      <c r="V306">
        <v>20260719</v>
      </c>
      <c r="W306">
        <v>46222.653275462966</v>
      </c>
    </row>
    <row r="307" spans="1:23" ht="45">
      <c r="A307" t="s">
        <v>427</v>
      </c>
      <c r="B307" t="s">
        <v>171</v>
      </c>
      <c r="C307" t="s">
        <v>20</v>
      </c>
      <c r="D307" t="s">
        <v>51</v>
      </c>
      <c r="E307" t="s">
        <v>166</v>
      </c>
      <c r="F307" s="1" t="s">
        <v>172</v>
      </c>
      <c r="G307" s="1" t="s">
        <v>173</v>
      </c>
      <c r="H307" s="1" t="s">
        <v>428</v>
      </c>
      <c r="I307">
        <v>29</v>
      </c>
      <c r="J307">
        <v>0</v>
      </c>
      <c r="K307">
        <v>1</v>
      </c>
      <c r="L307" s="11">
        <v>-3.4483E-2</v>
      </c>
      <c r="M307" t="s">
        <v>598</v>
      </c>
      <c r="N307" s="12">
        <v>1</v>
      </c>
      <c r="O307" s="12">
        <v>3</v>
      </c>
      <c r="P307" s="12">
        <v>3</v>
      </c>
      <c r="Q307" s="12">
        <v>1</v>
      </c>
      <c r="R307" s="12">
        <v>3</v>
      </c>
      <c r="S307" s="12">
        <v>3</v>
      </c>
      <c r="T307" s="1" t="s">
        <v>599</v>
      </c>
      <c r="U307" s="1" t="s">
        <v>596</v>
      </c>
      <c r="V307">
        <v>20260719</v>
      </c>
      <c r="W307">
        <v>46222.653275462966</v>
      </c>
    </row>
    <row r="308" spans="1:23" ht="45">
      <c r="A308" t="s">
        <v>429</v>
      </c>
      <c r="B308" t="s">
        <v>176</v>
      </c>
      <c r="C308" t="s">
        <v>20</v>
      </c>
      <c r="D308" t="s">
        <v>51</v>
      </c>
      <c r="E308" t="s">
        <v>166</v>
      </c>
      <c r="F308" s="1" t="s">
        <v>177</v>
      </c>
      <c r="G308" s="1" t="s">
        <v>178</v>
      </c>
      <c r="H308" s="1" t="s">
        <v>430</v>
      </c>
      <c r="I308">
        <v>29</v>
      </c>
      <c r="J308">
        <v>0</v>
      </c>
      <c r="K308">
        <v>1</v>
      </c>
      <c r="L308" s="11">
        <v>-3.4483E-2</v>
      </c>
      <c r="M308" t="s">
        <v>594</v>
      </c>
      <c r="N308" s="12">
        <v>1</v>
      </c>
      <c r="O308" s="12">
        <v>2</v>
      </c>
      <c r="P308" s="12">
        <v>3</v>
      </c>
      <c r="Q308" s="12">
        <v>1</v>
      </c>
      <c r="R308" s="12">
        <v>2</v>
      </c>
      <c r="S308" s="12">
        <v>3</v>
      </c>
      <c r="T308" s="1" t="s">
        <v>599</v>
      </c>
      <c r="U308" s="1" t="s">
        <v>596</v>
      </c>
      <c r="V308">
        <v>20260719</v>
      </c>
      <c r="W308">
        <v>46222.653275462966</v>
      </c>
    </row>
    <row r="309" spans="1:23" ht="45">
      <c r="A309" t="s">
        <v>429</v>
      </c>
      <c r="B309" t="s">
        <v>176</v>
      </c>
      <c r="C309" t="s">
        <v>20</v>
      </c>
      <c r="D309" t="s">
        <v>51</v>
      </c>
      <c r="E309" t="s">
        <v>166</v>
      </c>
      <c r="F309" s="1" t="s">
        <v>177</v>
      </c>
      <c r="G309" s="1" t="s">
        <v>178</v>
      </c>
      <c r="H309" s="1" t="s">
        <v>430</v>
      </c>
      <c r="I309">
        <v>29</v>
      </c>
      <c r="J309">
        <v>0</v>
      </c>
      <c r="K309">
        <v>1</v>
      </c>
      <c r="L309" s="11">
        <v>-3.4483E-2</v>
      </c>
      <c r="M309" t="s">
        <v>597</v>
      </c>
      <c r="N309" s="12">
        <v>1</v>
      </c>
      <c r="O309" s="12">
        <v>3</v>
      </c>
      <c r="P309" s="12">
        <v>3</v>
      </c>
      <c r="Q309" s="12">
        <v>1</v>
      </c>
      <c r="R309" s="12">
        <v>2</v>
      </c>
      <c r="S309" s="12">
        <v>3</v>
      </c>
      <c r="T309" s="1" t="s">
        <v>599</v>
      </c>
      <c r="U309" s="1" t="s">
        <v>596</v>
      </c>
      <c r="V309">
        <v>20260719</v>
      </c>
      <c r="W309">
        <v>46222.653275462966</v>
      </c>
    </row>
    <row r="310" spans="1:23" ht="45">
      <c r="A310" t="s">
        <v>429</v>
      </c>
      <c r="B310" t="s">
        <v>176</v>
      </c>
      <c r="C310" t="s">
        <v>20</v>
      </c>
      <c r="D310" t="s">
        <v>51</v>
      </c>
      <c r="E310" t="s">
        <v>166</v>
      </c>
      <c r="F310" s="1" t="s">
        <v>177</v>
      </c>
      <c r="G310" s="1" t="s">
        <v>178</v>
      </c>
      <c r="H310" s="1" t="s">
        <v>430</v>
      </c>
      <c r="I310">
        <v>29</v>
      </c>
      <c r="J310">
        <v>0</v>
      </c>
      <c r="K310">
        <v>1</v>
      </c>
      <c r="L310" s="11">
        <v>-3.4483E-2</v>
      </c>
      <c r="M310" t="s">
        <v>598</v>
      </c>
      <c r="N310" s="12">
        <v>2</v>
      </c>
      <c r="O310" s="12">
        <v>3</v>
      </c>
      <c r="P310" s="12">
        <v>3</v>
      </c>
      <c r="Q310" s="12">
        <v>0</v>
      </c>
      <c r="R310" s="12">
        <v>2</v>
      </c>
      <c r="S310" s="12">
        <v>3</v>
      </c>
      <c r="T310" s="1" t="s">
        <v>599</v>
      </c>
      <c r="U310" s="1" t="s">
        <v>596</v>
      </c>
      <c r="V310">
        <v>20260719</v>
      </c>
      <c r="W310">
        <v>46222.653275462966</v>
      </c>
    </row>
    <row r="311" spans="1:23" ht="45">
      <c r="A311" t="s">
        <v>431</v>
      </c>
      <c r="B311" t="s">
        <v>181</v>
      </c>
      <c r="C311" t="s">
        <v>20</v>
      </c>
      <c r="D311" t="s">
        <v>51</v>
      </c>
      <c r="E311" t="s">
        <v>166</v>
      </c>
      <c r="F311" s="1" t="s">
        <v>182</v>
      </c>
      <c r="G311" s="1" t="s">
        <v>183</v>
      </c>
      <c r="H311" s="1" t="s">
        <v>432</v>
      </c>
      <c r="I311">
        <v>28</v>
      </c>
      <c r="J311">
        <v>0</v>
      </c>
      <c r="K311">
        <v>1</v>
      </c>
      <c r="L311" s="11">
        <v>-3.5714000000000003E-2</v>
      </c>
      <c r="M311" t="s">
        <v>594</v>
      </c>
      <c r="N311" s="12">
        <v>1</v>
      </c>
      <c r="O311" s="12">
        <v>2</v>
      </c>
      <c r="P311" s="12">
        <v>3</v>
      </c>
      <c r="Q311" s="12">
        <v>0</v>
      </c>
      <c r="R311" s="12">
        <v>3</v>
      </c>
      <c r="S311" s="12">
        <v>3</v>
      </c>
      <c r="T311" s="1" t="s">
        <v>599</v>
      </c>
      <c r="U311" s="1" t="s">
        <v>596</v>
      </c>
      <c r="V311">
        <v>20260719</v>
      </c>
      <c r="W311">
        <v>46222.653275462966</v>
      </c>
    </row>
    <row r="312" spans="1:23" ht="45">
      <c r="A312" t="s">
        <v>431</v>
      </c>
      <c r="B312" t="s">
        <v>181</v>
      </c>
      <c r="C312" t="s">
        <v>20</v>
      </c>
      <c r="D312" t="s">
        <v>51</v>
      </c>
      <c r="E312" t="s">
        <v>166</v>
      </c>
      <c r="F312" s="1" t="s">
        <v>182</v>
      </c>
      <c r="G312" s="1" t="s">
        <v>183</v>
      </c>
      <c r="H312" s="1" t="s">
        <v>432</v>
      </c>
      <c r="I312">
        <v>28</v>
      </c>
      <c r="J312">
        <v>0</v>
      </c>
      <c r="K312">
        <v>1</v>
      </c>
      <c r="L312" s="11">
        <v>-3.5714000000000003E-2</v>
      </c>
      <c r="M312" t="s">
        <v>597</v>
      </c>
      <c r="N312" s="12">
        <v>1</v>
      </c>
      <c r="O312" s="12">
        <v>3</v>
      </c>
      <c r="P312" s="12">
        <v>3</v>
      </c>
      <c r="Q312" s="12">
        <v>1</v>
      </c>
      <c r="R312" s="12">
        <v>3</v>
      </c>
      <c r="S312" s="12">
        <v>3</v>
      </c>
      <c r="T312" s="1" t="s">
        <v>599</v>
      </c>
      <c r="U312" s="1" t="s">
        <v>596</v>
      </c>
      <c r="V312">
        <v>20260719</v>
      </c>
      <c r="W312">
        <v>46222.653275462966</v>
      </c>
    </row>
    <row r="313" spans="1:23" ht="45">
      <c r="A313" t="s">
        <v>431</v>
      </c>
      <c r="B313" t="s">
        <v>181</v>
      </c>
      <c r="C313" t="s">
        <v>20</v>
      </c>
      <c r="D313" t="s">
        <v>51</v>
      </c>
      <c r="E313" t="s">
        <v>166</v>
      </c>
      <c r="F313" s="1" t="s">
        <v>182</v>
      </c>
      <c r="G313" s="1" t="s">
        <v>183</v>
      </c>
      <c r="H313" s="1" t="s">
        <v>432</v>
      </c>
      <c r="I313">
        <v>28</v>
      </c>
      <c r="J313">
        <v>0</v>
      </c>
      <c r="K313">
        <v>1</v>
      </c>
      <c r="L313" s="11">
        <v>-3.5714000000000003E-2</v>
      </c>
      <c r="M313" t="s">
        <v>598</v>
      </c>
      <c r="N313" s="12">
        <v>1</v>
      </c>
      <c r="O313" s="12">
        <v>3</v>
      </c>
      <c r="P313" s="12">
        <v>3</v>
      </c>
      <c r="Q313" s="12">
        <v>1</v>
      </c>
      <c r="R313" s="12">
        <v>3</v>
      </c>
      <c r="S313" s="12">
        <v>3</v>
      </c>
      <c r="T313" s="1" t="s">
        <v>599</v>
      </c>
      <c r="U313" s="1" t="s">
        <v>596</v>
      </c>
      <c r="V313">
        <v>20260719</v>
      </c>
      <c r="W313">
        <v>46222.653275462966</v>
      </c>
    </row>
    <row r="314" spans="1:23" ht="30">
      <c r="A314" t="s">
        <v>433</v>
      </c>
      <c r="B314" t="s">
        <v>186</v>
      </c>
      <c r="C314" t="s">
        <v>20</v>
      </c>
      <c r="D314" t="s">
        <v>51</v>
      </c>
      <c r="E314" t="s">
        <v>187</v>
      </c>
      <c r="F314" s="1" t="s">
        <v>188</v>
      </c>
      <c r="G314" s="1" t="s">
        <v>189</v>
      </c>
      <c r="H314" s="1" t="s">
        <v>434</v>
      </c>
      <c r="I314">
        <v>34</v>
      </c>
      <c r="J314">
        <v>0</v>
      </c>
      <c r="K314">
        <v>1</v>
      </c>
      <c r="L314" s="11">
        <v>-2.9412000000000001E-2</v>
      </c>
      <c r="M314" t="s">
        <v>594</v>
      </c>
      <c r="N314" s="12">
        <v>1</v>
      </c>
      <c r="O314" s="12">
        <v>2</v>
      </c>
      <c r="P314" s="12">
        <v>2</v>
      </c>
      <c r="Q314" s="12">
        <v>1</v>
      </c>
      <c r="R314" s="12">
        <v>2</v>
      </c>
      <c r="S314" s="12">
        <v>2</v>
      </c>
      <c r="T314" s="1" t="s">
        <v>599</v>
      </c>
      <c r="U314" s="1" t="s">
        <v>596</v>
      </c>
      <c r="V314">
        <v>20260719</v>
      </c>
      <c r="W314">
        <v>46222.653275462966</v>
      </c>
    </row>
    <row r="315" spans="1:23" ht="30">
      <c r="A315" t="s">
        <v>433</v>
      </c>
      <c r="B315" t="s">
        <v>186</v>
      </c>
      <c r="C315" t="s">
        <v>20</v>
      </c>
      <c r="D315" t="s">
        <v>51</v>
      </c>
      <c r="E315" t="s">
        <v>187</v>
      </c>
      <c r="F315" s="1" t="s">
        <v>188</v>
      </c>
      <c r="G315" s="1" t="s">
        <v>189</v>
      </c>
      <c r="H315" s="1" t="s">
        <v>434</v>
      </c>
      <c r="I315">
        <v>34</v>
      </c>
      <c r="J315">
        <v>0</v>
      </c>
      <c r="K315">
        <v>1</v>
      </c>
      <c r="L315" s="11">
        <v>-2.9412000000000001E-2</v>
      </c>
      <c r="M315" t="s">
        <v>597</v>
      </c>
      <c r="N315" s="12">
        <v>1</v>
      </c>
      <c r="O315" s="12">
        <v>2</v>
      </c>
      <c r="P315" s="12">
        <v>2</v>
      </c>
      <c r="Q315" s="12">
        <v>1</v>
      </c>
      <c r="R315" s="12">
        <v>1</v>
      </c>
      <c r="S315" s="12">
        <v>2</v>
      </c>
      <c r="T315" s="1" t="s">
        <v>599</v>
      </c>
      <c r="U315" s="1" t="s">
        <v>596</v>
      </c>
      <c r="V315">
        <v>20260719</v>
      </c>
      <c r="W315">
        <v>46222.653275462966</v>
      </c>
    </row>
    <row r="316" spans="1:23" ht="30">
      <c r="A316" t="s">
        <v>433</v>
      </c>
      <c r="B316" t="s">
        <v>186</v>
      </c>
      <c r="C316" t="s">
        <v>20</v>
      </c>
      <c r="D316" t="s">
        <v>51</v>
      </c>
      <c r="E316" t="s">
        <v>187</v>
      </c>
      <c r="F316" s="1" t="s">
        <v>188</v>
      </c>
      <c r="G316" s="1" t="s">
        <v>189</v>
      </c>
      <c r="H316" s="1" t="s">
        <v>434</v>
      </c>
      <c r="I316">
        <v>34</v>
      </c>
      <c r="J316">
        <v>0</v>
      </c>
      <c r="K316">
        <v>1</v>
      </c>
      <c r="L316" s="11">
        <v>-2.9412000000000001E-2</v>
      </c>
      <c r="M316" t="s">
        <v>598</v>
      </c>
      <c r="N316" s="12">
        <v>1</v>
      </c>
      <c r="O316" s="12">
        <v>3</v>
      </c>
      <c r="P316" s="12">
        <v>2</v>
      </c>
      <c r="Q316" s="12">
        <v>1</v>
      </c>
      <c r="R316" s="12">
        <v>2</v>
      </c>
      <c r="S316" s="12">
        <v>2</v>
      </c>
      <c r="T316" s="1" t="s">
        <v>599</v>
      </c>
      <c r="U316" s="1" t="s">
        <v>596</v>
      </c>
      <c r="V316">
        <v>20260719</v>
      </c>
      <c r="W316">
        <v>46222.653275462966</v>
      </c>
    </row>
    <row r="317" spans="1:23" ht="30">
      <c r="A317" t="s">
        <v>435</v>
      </c>
      <c r="B317" t="s">
        <v>192</v>
      </c>
      <c r="C317" t="s">
        <v>20</v>
      </c>
      <c r="D317" t="s">
        <v>51</v>
      </c>
      <c r="E317" t="s">
        <v>187</v>
      </c>
      <c r="F317" s="1" t="s">
        <v>193</v>
      </c>
      <c r="G317" s="1" t="s">
        <v>194</v>
      </c>
      <c r="H317" s="1" t="s">
        <v>436</v>
      </c>
      <c r="I317">
        <v>26</v>
      </c>
      <c r="J317">
        <v>0</v>
      </c>
      <c r="K317">
        <v>1</v>
      </c>
      <c r="L317" s="11">
        <v>-3.8462000000000003E-2</v>
      </c>
      <c r="M317" t="s">
        <v>594</v>
      </c>
      <c r="N317" s="12">
        <v>0</v>
      </c>
      <c r="O317" s="12">
        <v>2</v>
      </c>
      <c r="P317" s="12">
        <v>2</v>
      </c>
      <c r="Q317" s="12">
        <v>0</v>
      </c>
      <c r="R317" s="12">
        <v>2</v>
      </c>
      <c r="S317" s="12">
        <v>3</v>
      </c>
      <c r="T317" s="1" t="s">
        <v>599</v>
      </c>
      <c r="U317" s="1" t="s">
        <v>596</v>
      </c>
      <c r="V317">
        <v>20260719</v>
      </c>
      <c r="W317">
        <v>46222.653275462966</v>
      </c>
    </row>
    <row r="318" spans="1:23" ht="30">
      <c r="A318" t="s">
        <v>435</v>
      </c>
      <c r="B318" t="s">
        <v>192</v>
      </c>
      <c r="C318" t="s">
        <v>20</v>
      </c>
      <c r="D318" t="s">
        <v>51</v>
      </c>
      <c r="E318" t="s">
        <v>187</v>
      </c>
      <c r="F318" s="1" t="s">
        <v>193</v>
      </c>
      <c r="G318" s="1" t="s">
        <v>194</v>
      </c>
      <c r="H318" s="1" t="s">
        <v>436</v>
      </c>
      <c r="I318">
        <v>26</v>
      </c>
      <c r="J318">
        <v>0</v>
      </c>
      <c r="K318">
        <v>1</v>
      </c>
      <c r="L318" s="11">
        <v>-3.8462000000000003E-2</v>
      </c>
      <c r="M318" t="s">
        <v>597</v>
      </c>
      <c r="N318" s="12">
        <v>1</v>
      </c>
      <c r="O318" s="12">
        <v>2</v>
      </c>
      <c r="P318" s="12">
        <v>3</v>
      </c>
      <c r="Q318" s="12">
        <v>0</v>
      </c>
      <c r="R318" s="12">
        <v>2</v>
      </c>
      <c r="S318" s="12">
        <v>3</v>
      </c>
      <c r="T318" s="1" t="s">
        <v>599</v>
      </c>
      <c r="U318" s="1" t="s">
        <v>596</v>
      </c>
      <c r="V318">
        <v>20260719</v>
      </c>
      <c r="W318">
        <v>46222.653275462966</v>
      </c>
    </row>
    <row r="319" spans="1:23" ht="30">
      <c r="A319" t="s">
        <v>435</v>
      </c>
      <c r="B319" t="s">
        <v>192</v>
      </c>
      <c r="C319" t="s">
        <v>20</v>
      </c>
      <c r="D319" t="s">
        <v>51</v>
      </c>
      <c r="E319" t="s">
        <v>187</v>
      </c>
      <c r="F319" s="1" t="s">
        <v>193</v>
      </c>
      <c r="G319" s="1" t="s">
        <v>194</v>
      </c>
      <c r="H319" s="1" t="s">
        <v>436</v>
      </c>
      <c r="I319">
        <v>26</v>
      </c>
      <c r="J319">
        <v>0</v>
      </c>
      <c r="K319">
        <v>1</v>
      </c>
      <c r="L319" s="11">
        <v>-3.8462000000000003E-2</v>
      </c>
      <c r="M319" t="s">
        <v>598</v>
      </c>
      <c r="N319" s="12">
        <v>0</v>
      </c>
      <c r="O319" s="12">
        <v>2</v>
      </c>
      <c r="P319" s="12">
        <v>3</v>
      </c>
      <c r="Q319" s="12">
        <v>0</v>
      </c>
      <c r="R319" s="12">
        <v>2</v>
      </c>
      <c r="S319" s="12">
        <v>3</v>
      </c>
      <c r="T319" s="1" t="s">
        <v>599</v>
      </c>
      <c r="U319" s="1" t="s">
        <v>596</v>
      </c>
      <c r="V319">
        <v>20260719</v>
      </c>
      <c r="W319">
        <v>46222.653275462966</v>
      </c>
    </row>
    <row r="320" spans="1:23" ht="45">
      <c r="A320" t="s">
        <v>437</v>
      </c>
      <c r="B320" t="s">
        <v>197</v>
      </c>
      <c r="C320" t="s">
        <v>20</v>
      </c>
      <c r="D320" t="s">
        <v>51</v>
      </c>
      <c r="E320" t="s">
        <v>187</v>
      </c>
      <c r="F320" s="1" t="s">
        <v>198</v>
      </c>
      <c r="G320" s="1" t="s">
        <v>199</v>
      </c>
      <c r="H320" s="1" t="s">
        <v>438</v>
      </c>
      <c r="I320">
        <v>30</v>
      </c>
      <c r="J320">
        <v>0</v>
      </c>
      <c r="K320">
        <v>1</v>
      </c>
      <c r="L320" s="11">
        <v>-3.3333000000000002E-2</v>
      </c>
      <c r="M320" t="s">
        <v>594</v>
      </c>
      <c r="N320" s="12">
        <v>0</v>
      </c>
      <c r="O320" s="12">
        <v>3</v>
      </c>
      <c r="P320" s="12">
        <v>3</v>
      </c>
      <c r="Q320" s="12">
        <v>0</v>
      </c>
      <c r="R320" s="12">
        <v>2</v>
      </c>
      <c r="S320" s="12">
        <v>2</v>
      </c>
      <c r="T320" s="1" t="s">
        <v>599</v>
      </c>
      <c r="U320" s="1" t="s">
        <v>596</v>
      </c>
      <c r="V320">
        <v>20260719</v>
      </c>
      <c r="W320">
        <v>46222.653275462966</v>
      </c>
    </row>
    <row r="321" spans="1:23" ht="45">
      <c r="A321" t="s">
        <v>437</v>
      </c>
      <c r="B321" t="s">
        <v>197</v>
      </c>
      <c r="C321" t="s">
        <v>20</v>
      </c>
      <c r="D321" t="s">
        <v>51</v>
      </c>
      <c r="E321" t="s">
        <v>187</v>
      </c>
      <c r="F321" s="1" t="s">
        <v>198</v>
      </c>
      <c r="G321" s="1" t="s">
        <v>199</v>
      </c>
      <c r="H321" s="1" t="s">
        <v>438</v>
      </c>
      <c r="I321">
        <v>30</v>
      </c>
      <c r="J321">
        <v>0</v>
      </c>
      <c r="K321">
        <v>1</v>
      </c>
      <c r="L321" s="11">
        <v>-3.3333000000000002E-2</v>
      </c>
      <c r="M321" t="s">
        <v>597</v>
      </c>
      <c r="N321" s="12">
        <v>0</v>
      </c>
      <c r="O321" s="12">
        <v>3</v>
      </c>
      <c r="P321" s="12">
        <v>2</v>
      </c>
      <c r="Q321" s="12">
        <v>0</v>
      </c>
      <c r="R321" s="12">
        <v>2</v>
      </c>
      <c r="S321" s="12">
        <v>2</v>
      </c>
      <c r="T321" s="1" t="s">
        <v>599</v>
      </c>
      <c r="U321" s="1" t="s">
        <v>596</v>
      </c>
      <c r="V321">
        <v>20260719</v>
      </c>
      <c r="W321">
        <v>46222.653275462966</v>
      </c>
    </row>
    <row r="322" spans="1:23" ht="45">
      <c r="A322" t="s">
        <v>437</v>
      </c>
      <c r="B322" t="s">
        <v>197</v>
      </c>
      <c r="C322" t="s">
        <v>20</v>
      </c>
      <c r="D322" t="s">
        <v>51</v>
      </c>
      <c r="E322" t="s">
        <v>187</v>
      </c>
      <c r="F322" s="1" t="s">
        <v>198</v>
      </c>
      <c r="G322" s="1" t="s">
        <v>199</v>
      </c>
      <c r="H322" s="1" t="s">
        <v>438</v>
      </c>
      <c r="I322">
        <v>30</v>
      </c>
      <c r="J322">
        <v>0</v>
      </c>
      <c r="K322">
        <v>1</v>
      </c>
      <c r="L322" s="11">
        <v>-3.3333000000000002E-2</v>
      </c>
      <c r="M322" t="s">
        <v>598</v>
      </c>
      <c r="N322" s="12">
        <v>0</v>
      </c>
      <c r="O322" s="12">
        <v>3</v>
      </c>
      <c r="P322" s="12">
        <v>2</v>
      </c>
      <c r="Q322" s="12">
        <v>0</v>
      </c>
      <c r="R322" s="12">
        <v>2</v>
      </c>
      <c r="S322" s="12">
        <v>2</v>
      </c>
      <c r="T322" s="1" t="s">
        <v>599</v>
      </c>
      <c r="U322" s="1" t="s">
        <v>596</v>
      </c>
      <c r="V322">
        <v>20260719</v>
      </c>
      <c r="W322">
        <v>46222.653275462966</v>
      </c>
    </row>
    <row r="323" spans="1:23" ht="45">
      <c r="A323" t="s">
        <v>439</v>
      </c>
      <c r="B323" t="s">
        <v>202</v>
      </c>
      <c r="C323" t="s">
        <v>20</v>
      </c>
      <c r="D323" t="s">
        <v>51</v>
      </c>
      <c r="E323" t="s">
        <v>187</v>
      </c>
      <c r="F323" s="1" t="s">
        <v>203</v>
      </c>
      <c r="G323" s="1" t="s">
        <v>204</v>
      </c>
      <c r="H323" s="1" t="s">
        <v>440</v>
      </c>
      <c r="I323">
        <v>30</v>
      </c>
      <c r="J323">
        <v>0</v>
      </c>
      <c r="K323">
        <v>1</v>
      </c>
      <c r="L323" s="11">
        <v>-3.3333000000000002E-2</v>
      </c>
      <c r="M323" t="s">
        <v>594</v>
      </c>
      <c r="N323" s="12">
        <v>1</v>
      </c>
      <c r="O323" s="12">
        <v>2</v>
      </c>
      <c r="P323" s="12">
        <v>3</v>
      </c>
      <c r="Q323" s="12">
        <v>1</v>
      </c>
      <c r="R323" s="12">
        <v>2</v>
      </c>
      <c r="S323" s="12">
        <v>3</v>
      </c>
      <c r="T323" s="1" t="s">
        <v>599</v>
      </c>
      <c r="U323" s="1" t="s">
        <v>596</v>
      </c>
      <c r="V323">
        <v>20260719</v>
      </c>
      <c r="W323">
        <v>46222.653275462966</v>
      </c>
    </row>
    <row r="324" spans="1:23" ht="45">
      <c r="A324" t="s">
        <v>439</v>
      </c>
      <c r="B324" t="s">
        <v>202</v>
      </c>
      <c r="C324" t="s">
        <v>20</v>
      </c>
      <c r="D324" t="s">
        <v>51</v>
      </c>
      <c r="E324" t="s">
        <v>187</v>
      </c>
      <c r="F324" s="1" t="s">
        <v>203</v>
      </c>
      <c r="G324" s="1" t="s">
        <v>204</v>
      </c>
      <c r="H324" s="1" t="s">
        <v>440</v>
      </c>
      <c r="I324">
        <v>30</v>
      </c>
      <c r="J324">
        <v>0</v>
      </c>
      <c r="K324">
        <v>1</v>
      </c>
      <c r="L324" s="11">
        <v>-3.3333000000000002E-2</v>
      </c>
      <c r="M324" t="s">
        <v>597</v>
      </c>
      <c r="N324" s="12">
        <v>2</v>
      </c>
      <c r="O324" s="12">
        <v>2</v>
      </c>
      <c r="P324" s="12">
        <v>3</v>
      </c>
      <c r="Q324" s="12">
        <v>2</v>
      </c>
      <c r="R324" s="12">
        <v>2</v>
      </c>
      <c r="S324" s="12">
        <v>3</v>
      </c>
      <c r="T324" s="1" t="s">
        <v>599</v>
      </c>
      <c r="U324" s="1" t="s">
        <v>596</v>
      </c>
      <c r="V324">
        <v>20260719</v>
      </c>
      <c r="W324">
        <v>46222.653275462966</v>
      </c>
    </row>
    <row r="325" spans="1:23" ht="45">
      <c r="A325" t="s">
        <v>439</v>
      </c>
      <c r="B325" t="s">
        <v>202</v>
      </c>
      <c r="C325" t="s">
        <v>20</v>
      </c>
      <c r="D325" t="s">
        <v>51</v>
      </c>
      <c r="E325" t="s">
        <v>187</v>
      </c>
      <c r="F325" s="1" t="s">
        <v>203</v>
      </c>
      <c r="G325" s="1" t="s">
        <v>204</v>
      </c>
      <c r="H325" s="1" t="s">
        <v>440</v>
      </c>
      <c r="I325">
        <v>30</v>
      </c>
      <c r="J325">
        <v>0</v>
      </c>
      <c r="K325">
        <v>1</v>
      </c>
      <c r="L325" s="11">
        <v>-3.3333000000000002E-2</v>
      </c>
      <c r="M325" t="s">
        <v>598</v>
      </c>
      <c r="N325" s="12">
        <v>1</v>
      </c>
      <c r="O325" s="12">
        <v>2</v>
      </c>
      <c r="P325" s="12">
        <v>3</v>
      </c>
      <c r="Q325" s="12">
        <v>1</v>
      </c>
      <c r="R325" s="12">
        <v>3</v>
      </c>
      <c r="S325" s="12">
        <v>3</v>
      </c>
      <c r="T325" s="1" t="s">
        <v>599</v>
      </c>
      <c r="U325" s="1" t="s">
        <v>596</v>
      </c>
      <c r="V325">
        <v>20260719</v>
      </c>
      <c r="W325">
        <v>46222.653275462966</v>
      </c>
    </row>
    <row r="326" spans="1:23" ht="45">
      <c r="A326" t="s">
        <v>441</v>
      </c>
      <c r="B326" t="s">
        <v>207</v>
      </c>
      <c r="C326" t="s">
        <v>20</v>
      </c>
      <c r="D326" t="s">
        <v>51</v>
      </c>
      <c r="E326" t="s">
        <v>208</v>
      </c>
      <c r="F326" s="1" t="s">
        <v>209</v>
      </c>
      <c r="G326" s="1" t="s">
        <v>210</v>
      </c>
      <c r="H326" s="1" t="s">
        <v>442</v>
      </c>
      <c r="I326">
        <v>32</v>
      </c>
      <c r="J326">
        <v>0</v>
      </c>
      <c r="K326">
        <v>1</v>
      </c>
      <c r="L326" s="11">
        <v>-3.125E-2</v>
      </c>
      <c r="M326" t="s">
        <v>594</v>
      </c>
      <c r="N326" s="12">
        <v>1</v>
      </c>
      <c r="O326" s="12">
        <v>2</v>
      </c>
      <c r="P326" s="12">
        <v>1</v>
      </c>
      <c r="Q326" s="12">
        <v>0</v>
      </c>
      <c r="R326" s="12">
        <v>1</v>
      </c>
      <c r="S326" s="12">
        <v>2</v>
      </c>
      <c r="T326" s="1" t="s">
        <v>599</v>
      </c>
      <c r="U326" s="1" t="s">
        <v>596</v>
      </c>
      <c r="V326">
        <v>20260719</v>
      </c>
      <c r="W326">
        <v>46222.653275462966</v>
      </c>
    </row>
    <row r="327" spans="1:23" ht="45">
      <c r="A327" t="s">
        <v>441</v>
      </c>
      <c r="B327" t="s">
        <v>207</v>
      </c>
      <c r="C327" t="s">
        <v>20</v>
      </c>
      <c r="D327" t="s">
        <v>51</v>
      </c>
      <c r="E327" t="s">
        <v>208</v>
      </c>
      <c r="F327" s="1" t="s">
        <v>209</v>
      </c>
      <c r="G327" s="1" t="s">
        <v>210</v>
      </c>
      <c r="H327" s="1" t="s">
        <v>442</v>
      </c>
      <c r="I327">
        <v>32</v>
      </c>
      <c r="J327">
        <v>0</v>
      </c>
      <c r="K327">
        <v>1</v>
      </c>
      <c r="L327" s="11">
        <v>-3.125E-2</v>
      </c>
      <c r="M327" t="s">
        <v>597</v>
      </c>
      <c r="N327" s="12">
        <v>0</v>
      </c>
      <c r="O327" s="12">
        <v>1</v>
      </c>
      <c r="P327" s="12">
        <v>2</v>
      </c>
      <c r="Q327" s="12">
        <v>1</v>
      </c>
      <c r="R327" s="12">
        <v>1</v>
      </c>
      <c r="S327" s="12">
        <v>3</v>
      </c>
      <c r="T327" s="1" t="s">
        <v>599</v>
      </c>
      <c r="U327" s="1" t="s">
        <v>596</v>
      </c>
      <c r="V327">
        <v>20260719</v>
      </c>
      <c r="W327">
        <v>46222.653275462966</v>
      </c>
    </row>
    <row r="328" spans="1:23" ht="45">
      <c r="A328" t="s">
        <v>441</v>
      </c>
      <c r="B328" t="s">
        <v>207</v>
      </c>
      <c r="C328" t="s">
        <v>20</v>
      </c>
      <c r="D328" t="s">
        <v>51</v>
      </c>
      <c r="E328" t="s">
        <v>208</v>
      </c>
      <c r="F328" s="1" t="s">
        <v>209</v>
      </c>
      <c r="G328" s="1" t="s">
        <v>210</v>
      </c>
      <c r="H328" s="1" t="s">
        <v>442</v>
      </c>
      <c r="I328">
        <v>32</v>
      </c>
      <c r="J328">
        <v>0</v>
      </c>
      <c r="K328">
        <v>1</v>
      </c>
      <c r="L328" s="11">
        <v>-3.125E-2</v>
      </c>
      <c r="M328" t="s">
        <v>598</v>
      </c>
      <c r="N328" s="12">
        <v>0</v>
      </c>
      <c r="O328" s="12">
        <v>1</v>
      </c>
      <c r="P328" s="12">
        <v>2</v>
      </c>
      <c r="Q328" s="12">
        <v>0</v>
      </c>
      <c r="R328" s="12">
        <v>1</v>
      </c>
      <c r="S328" s="12">
        <v>2</v>
      </c>
      <c r="T328" s="1" t="s">
        <v>599</v>
      </c>
      <c r="U328" s="1" t="s">
        <v>596</v>
      </c>
      <c r="V328">
        <v>20260719</v>
      </c>
      <c r="W328">
        <v>46222.653275462966</v>
      </c>
    </row>
    <row r="329" spans="1:23" ht="30">
      <c r="A329" t="s">
        <v>443</v>
      </c>
      <c r="B329" t="s">
        <v>213</v>
      </c>
      <c r="C329" t="s">
        <v>20</v>
      </c>
      <c r="D329" t="s">
        <v>51</v>
      </c>
      <c r="E329" t="s">
        <v>208</v>
      </c>
      <c r="F329" s="1" t="s">
        <v>214</v>
      </c>
      <c r="G329" s="1" t="s">
        <v>215</v>
      </c>
      <c r="H329" s="1" t="s">
        <v>444</v>
      </c>
      <c r="I329">
        <v>28</v>
      </c>
      <c r="J329">
        <v>0</v>
      </c>
      <c r="K329">
        <v>1</v>
      </c>
      <c r="L329" s="11">
        <v>-3.5714000000000003E-2</v>
      </c>
      <c r="M329" t="s">
        <v>594</v>
      </c>
      <c r="N329" s="12">
        <v>0</v>
      </c>
      <c r="O329" s="12">
        <v>1</v>
      </c>
      <c r="P329" s="12">
        <v>2</v>
      </c>
      <c r="Q329" s="12">
        <v>1</v>
      </c>
      <c r="R329" s="12">
        <v>2</v>
      </c>
      <c r="S329" s="12">
        <v>2</v>
      </c>
      <c r="T329" s="1" t="s">
        <v>599</v>
      </c>
      <c r="U329" s="1" t="s">
        <v>596</v>
      </c>
      <c r="V329">
        <v>20260719</v>
      </c>
      <c r="W329">
        <v>46222.653275462966</v>
      </c>
    </row>
    <row r="330" spans="1:23" ht="30">
      <c r="A330" t="s">
        <v>443</v>
      </c>
      <c r="B330" t="s">
        <v>213</v>
      </c>
      <c r="C330" t="s">
        <v>20</v>
      </c>
      <c r="D330" t="s">
        <v>51</v>
      </c>
      <c r="E330" t="s">
        <v>208</v>
      </c>
      <c r="F330" s="1" t="s">
        <v>214</v>
      </c>
      <c r="G330" s="1" t="s">
        <v>215</v>
      </c>
      <c r="H330" s="1" t="s">
        <v>444</v>
      </c>
      <c r="I330">
        <v>28</v>
      </c>
      <c r="J330">
        <v>0</v>
      </c>
      <c r="K330">
        <v>1</v>
      </c>
      <c r="L330" s="11">
        <v>-3.5714000000000003E-2</v>
      </c>
      <c r="M330" t="s">
        <v>597</v>
      </c>
      <c r="N330" s="12">
        <v>1</v>
      </c>
      <c r="O330" s="12">
        <v>2</v>
      </c>
      <c r="P330" s="12">
        <v>2</v>
      </c>
      <c r="Q330" s="12">
        <v>1</v>
      </c>
      <c r="R330" s="12">
        <v>2</v>
      </c>
      <c r="S330" s="12">
        <v>2</v>
      </c>
      <c r="T330" s="1" t="s">
        <v>599</v>
      </c>
      <c r="U330" s="1" t="s">
        <v>596</v>
      </c>
      <c r="V330">
        <v>20260719</v>
      </c>
      <c r="W330">
        <v>46222.653275462966</v>
      </c>
    </row>
    <row r="331" spans="1:23" ht="30">
      <c r="A331" t="s">
        <v>443</v>
      </c>
      <c r="B331" t="s">
        <v>213</v>
      </c>
      <c r="C331" t="s">
        <v>20</v>
      </c>
      <c r="D331" t="s">
        <v>51</v>
      </c>
      <c r="E331" t="s">
        <v>208</v>
      </c>
      <c r="F331" s="1" t="s">
        <v>214</v>
      </c>
      <c r="G331" s="1" t="s">
        <v>215</v>
      </c>
      <c r="H331" s="1" t="s">
        <v>444</v>
      </c>
      <c r="I331">
        <v>28</v>
      </c>
      <c r="J331">
        <v>0</v>
      </c>
      <c r="K331">
        <v>1</v>
      </c>
      <c r="L331" s="11">
        <v>-3.5714000000000003E-2</v>
      </c>
      <c r="M331" t="s">
        <v>598</v>
      </c>
      <c r="N331" s="12">
        <v>1</v>
      </c>
      <c r="O331" s="12">
        <v>2</v>
      </c>
      <c r="P331" s="12">
        <v>2</v>
      </c>
      <c r="Q331" s="12">
        <v>1</v>
      </c>
      <c r="R331" s="12">
        <v>2</v>
      </c>
      <c r="S331" s="12">
        <v>2</v>
      </c>
      <c r="T331" s="1" t="s">
        <v>599</v>
      </c>
      <c r="U331" s="1" t="s">
        <v>596</v>
      </c>
      <c r="V331">
        <v>20260719</v>
      </c>
      <c r="W331">
        <v>46222.653275462966</v>
      </c>
    </row>
    <row r="332" spans="1:23" ht="30">
      <c r="A332" t="s">
        <v>445</v>
      </c>
      <c r="B332" t="s">
        <v>218</v>
      </c>
      <c r="C332" t="s">
        <v>20</v>
      </c>
      <c r="D332" t="s">
        <v>51</v>
      </c>
      <c r="E332" t="s">
        <v>208</v>
      </c>
      <c r="F332" s="1" t="s">
        <v>219</v>
      </c>
      <c r="G332" s="1" t="s">
        <v>220</v>
      </c>
      <c r="H332" s="1" t="s">
        <v>446</v>
      </c>
      <c r="I332">
        <v>25</v>
      </c>
      <c r="J332">
        <v>1</v>
      </c>
      <c r="K332">
        <v>1</v>
      </c>
      <c r="L332" s="11">
        <v>0</v>
      </c>
      <c r="M332" t="s">
        <v>594</v>
      </c>
      <c r="N332" s="12">
        <v>1</v>
      </c>
      <c r="O332" s="12">
        <v>0</v>
      </c>
      <c r="P332" s="12">
        <v>0</v>
      </c>
      <c r="Q332" s="12">
        <v>1</v>
      </c>
      <c r="R332" s="12">
        <v>1</v>
      </c>
      <c r="S332" s="12">
        <v>2</v>
      </c>
      <c r="T332" s="1" t="s">
        <v>600</v>
      </c>
      <c r="U332" s="1" t="s">
        <v>596</v>
      </c>
      <c r="V332">
        <v>20260719</v>
      </c>
      <c r="W332">
        <v>46222.653275462966</v>
      </c>
    </row>
    <row r="333" spans="1:23" ht="30">
      <c r="A333" t="s">
        <v>445</v>
      </c>
      <c r="B333" t="s">
        <v>218</v>
      </c>
      <c r="C333" t="s">
        <v>20</v>
      </c>
      <c r="D333" t="s">
        <v>51</v>
      </c>
      <c r="E333" t="s">
        <v>208</v>
      </c>
      <c r="F333" s="1" t="s">
        <v>219</v>
      </c>
      <c r="G333" s="1" t="s">
        <v>220</v>
      </c>
      <c r="H333" s="1" t="s">
        <v>446</v>
      </c>
      <c r="I333">
        <v>25</v>
      </c>
      <c r="J333">
        <v>1</v>
      </c>
      <c r="K333">
        <v>1</v>
      </c>
      <c r="L333" s="11">
        <v>0</v>
      </c>
      <c r="M333" t="s">
        <v>597</v>
      </c>
      <c r="N333" s="12">
        <v>0</v>
      </c>
      <c r="O333" s="12">
        <v>0</v>
      </c>
      <c r="P333" s="12">
        <v>1</v>
      </c>
      <c r="Q333" s="12">
        <v>1</v>
      </c>
      <c r="R333" s="12">
        <v>1</v>
      </c>
      <c r="S333" s="12">
        <v>2</v>
      </c>
      <c r="T333" s="1" t="s">
        <v>600</v>
      </c>
      <c r="U333" s="1" t="s">
        <v>596</v>
      </c>
      <c r="V333">
        <v>20260719</v>
      </c>
      <c r="W333">
        <v>46222.653275462966</v>
      </c>
    </row>
    <row r="334" spans="1:23" ht="30">
      <c r="A334" t="s">
        <v>445</v>
      </c>
      <c r="B334" t="s">
        <v>218</v>
      </c>
      <c r="C334" t="s">
        <v>20</v>
      </c>
      <c r="D334" t="s">
        <v>51</v>
      </c>
      <c r="E334" t="s">
        <v>208</v>
      </c>
      <c r="F334" s="1" t="s">
        <v>219</v>
      </c>
      <c r="G334" s="1" t="s">
        <v>220</v>
      </c>
      <c r="H334" s="1" t="s">
        <v>446</v>
      </c>
      <c r="I334">
        <v>25</v>
      </c>
      <c r="J334">
        <v>1</v>
      </c>
      <c r="K334">
        <v>1</v>
      </c>
      <c r="L334" s="11">
        <v>0</v>
      </c>
      <c r="M334" t="s">
        <v>598</v>
      </c>
      <c r="N334" s="12">
        <v>0</v>
      </c>
      <c r="O334" s="12">
        <v>0</v>
      </c>
      <c r="P334" s="12">
        <v>0</v>
      </c>
      <c r="Q334" s="12">
        <v>1</v>
      </c>
      <c r="R334" s="12">
        <v>2</v>
      </c>
      <c r="S334" s="12">
        <v>2</v>
      </c>
      <c r="T334" s="1" t="s">
        <v>600</v>
      </c>
      <c r="U334" s="1" t="s">
        <v>596</v>
      </c>
      <c r="V334">
        <v>20260719</v>
      </c>
      <c r="W334">
        <v>46222.653275462966</v>
      </c>
    </row>
    <row r="335" spans="1:23" ht="30">
      <c r="A335" t="s">
        <v>448</v>
      </c>
      <c r="B335" t="s">
        <v>223</v>
      </c>
      <c r="C335" t="s">
        <v>20</v>
      </c>
      <c r="D335" t="s">
        <v>51</v>
      </c>
      <c r="E335" t="s">
        <v>208</v>
      </c>
      <c r="F335" s="1" t="s">
        <v>224</v>
      </c>
      <c r="G335" s="1" t="s">
        <v>225</v>
      </c>
      <c r="H335" s="1" t="s">
        <v>449</v>
      </c>
      <c r="I335">
        <v>28</v>
      </c>
      <c r="J335">
        <v>1</v>
      </c>
      <c r="K335">
        <v>1</v>
      </c>
      <c r="L335" s="11">
        <v>0</v>
      </c>
      <c r="M335" t="s">
        <v>594</v>
      </c>
      <c r="N335" s="12">
        <v>2</v>
      </c>
      <c r="O335" s="12">
        <v>1</v>
      </c>
      <c r="P335" s="12">
        <v>1</v>
      </c>
      <c r="Q335" s="12">
        <v>2</v>
      </c>
      <c r="R335" s="12">
        <v>2</v>
      </c>
      <c r="S335" s="12">
        <v>2</v>
      </c>
      <c r="T335" s="1" t="s">
        <v>600</v>
      </c>
      <c r="U335" s="1" t="s">
        <v>596</v>
      </c>
      <c r="V335">
        <v>20260719</v>
      </c>
      <c r="W335">
        <v>46222.653275462966</v>
      </c>
    </row>
    <row r="336" spans="1:23" ht="30">
      <c r="A336" t="s">
        <v>448</v>
      </c>
      <c r="B336" t="s">
        <v>223</v>
      </c>
      <c r="C336" t="s">
        <v>20</v>
      </c>
      <c r="D336" t="s">
        <v>51</v>
      </c>
      <c r="E336" t="s">
        <v>208</v>
      </c>
      <c r="F336" s="1" t="s">
        <v>224</v>
      </c>
      <c r="G336" s="1" t="s">
        <v>225</v>
      </c>
      <c r="H336" s="1" t="s">
        <v>449</v>
      </c>
      <c r="I336">
        <v>28</v>
      </c>
      <c r="J336">
        <v>1</v>
      </c>
      <c r="K336">
        <v>1</v>
      </c>
      <c r="L336" s="11">
        <v>0</v>
      </c>
      <c r="M336" t="s">
        <v>597</v>
      </c>
      <c r="N336" s="12">
        <v>3</v>
      </c>
      <c r="O336" s="12">
        <v>1</v>
      </c>
      <c r="P336" s="12">
        <v>1</v>
      </c>
      <c r="Q336" s="12">
        <v>3</v>
      </c>
      <c r="R336" s="12">
        <v>2</v>
      </c>
      <c r="S336" s="12">
        <v>3</v>
      </c>
      <c r="T336" s="1" t="s">
        <v>600</v>
      </c>
      <c r="U336" s="1" t="s">
        <v>596</v>
      </c>
      <c r="V336">
        <v>20260719</v>
      </c>
      <c r="W336">
        <v>46222.653275462966</v>
      </c>
    </row>
    <row r="337" spans="1:23" ht="30">
      <c r="A337" t="s">
        <v>448</v>
      </c>
      <c r="B337" t="s">
        <v>223</v>
      </c>
      <c r="C337" t="s">
        <v>20</v>
      </c>
      <c r="D337" t="s">
        <v>51</v>
      </c>
      <c r="E337" t="s">
        <v>208</v>
      </c>
      <c r="F337" s="1" t="s">
        <v>224</v>
      </c>
      <c r="G337" s="1" t="s">
        <v>225</v>
      </c>
      <c r="H337" s="1" t="s">
        <v>449</v>
      </c>
      <c r="I337">
        <v>28</v>
      </c>
      <c r="J337">
        <v>1</v>
      </c>
      <c r="K337">
        <v>1</v>
      </c>
      <c r="L337" s="11">
        <v>0</v>
      </c>
      <c r="M337" t="s">
        <v>598</v>
      </c>
      <c r="N337" s="12">
        <v>2</v>
      </c>
      <c r="O337" s="12">
        <v>1</v>
      </c>
      <c r="P337" s="12">
        <v>1</v>
      </c>
      <c r="Q337" s="12">
        <v>3</v>
      </c>
      <c r="R337" s="12">
        <v>2</v>
      </c>
      <c r="S337" s="12">
        <v>2</v>
      </c>
      <c r="T337" s="1" t="s">
        <v>600</v>
      </c>
      <c r="U337" s="1" t="s">
        <v>596</v>
      </c>
      <c r="V337">
        <v>20260719</v>
      </c>
      <c r="W337">
        <v>46222.653275462966</v>
      </c>
    </row>
    <row r="338" spans="1:23" ht="30">
      <c r="A338" t="s">
        <v>450</v>
      </c>
      <c r="B338" t="s">
        <v>228</v>
      </c>
      <c r="C338" t="s">
        <v>20</v>
      </c>
      <c r="D338" t="s">
        <v>51</v>
      </c>
      <c r="E338" t="s">
        <v>229</v>
      </c>
      <c r="F338" s="1" t="s">
        <v>230</v>
      </c>
      <c r="G338" s="1" t="s">
        <v>231</v>
      </c>
      <c r="H338" s="1" t="s">
        <v>451</v>
      </c>
      <c r="I338">
        <v>24</v>
      </c>
      <c r="J338">
        <v>1</v>
      </c>
      <c r="K338">
        <v>1</v>
      </c>
      <c r="L338" s="11">
        <v>0</v>
      </c>
      <c r="M338" t="s">
        <v>594</v>
      </c>
      <c r="N338" s="12">
        <v>2</v>
      </c>
      <c r="O338" s="12">
        <v>0</v>
      </c>
      <c r="P338" s="12">
        <v>1</v>
      </c>
      <c r="Q338" s="12">
        <v>1</v>
      </c>
      <c r="R338" s="12">
        <v>1</v>
      </c>
      <c r="S338" s="12">
        <v>2</v>
      </c>
      <c r="T338" s="1" t="s">
        <v>600</v>
      </c>
      <c r="U338" s="1" t="s">
        <v>596</v>
      </c>
      <c r="V338">
        <v>20260719</v>
      </c>
      <c r="W338">
        <v>46222.653275462966</v>
      </c>
    </row>
    <row r="339" spans="1:23" ht="30">
      <c r="A339" t="s">
        <v>450</v>
      </c>
      <c r="B339" t="s">
        <v>228</v>
      </c>
      <c r="C339" t="s">
        <v>20</v>
      </c>
      <c r="D339" t="s">
        <v>51</v>
      </c>
      <c r="E339" t="s">
        <v>229</v>
      </c>
      <c r="F339" s="1" t="s">
        <v>230</v>
      </c>
      <c r="G339" s="1" t="s">
        <v>231</v>
      </c>
      <c r="H339" s="1" t="s">
        <v>451</v>
      </c>
      <c r="I339">
        <v>24</v>
      </c>
      <c r="J339">
        <v>1</v>
      </c>
      <c r="K339">
        <v>1</v>
      </c>
      <c r="L339" s="11">
        <v>0</v>
      </c>
      <c r="M339" t="s">
        <v>597</v>
      </c>
      <c r="N339" s="12">
        <v>2</v>
      </c>
      <c r="O339" s="12">
        <v>0</v>
      </c>
      <c r="P339" s="12">
        <v>1</v>
      </c>
      <c r="Q339" s="12">
        <v>1</v>
      </c>
      <c r="R339" s="12">
        <v>1</v>
      </c>
      <c r="S339" s="12">
        <v>2</v>
      </c>
      <c r="T339" s="1" t="s">
        <v>600</v>
      </c>
      <c r="U339" s="1" t="s">
        <v>596</v>
      </c>
      <c r="V339">
        <v>20260719</v>
      </c>
      <c r="W339">
        <v>46222.653275462966</v>
      </c>
    </row>
    <row r="340" spans="1:23" ht="30">
      <c r="A340" t="s">
        <v>450</v>
      </c>
      <c r="B340" t="s">
        <v>228</v>
      </c>
      <c r="C340" t="s">
        <v>20</v>
      </c>
      <c r="D340" t="s">
        <v>51</v>
      </c>
      <c r="E340" t="s">
        <v>229</v>
      </c>
      <c r="F340" s="1" t="s">
        <v>230</v>
      </c>
      <c r="G340" s="1" t="s">
        <v>231</v>
      </c>
      <c r="H340" s="1" t="s">
        <v>451</v>
      </c>
      <c r="I340">
        <v>24</v>
      </c>
      <c r="J340">
        <v>1</v>
      </c>
      <c r="K340">
        <v>1</v>
      </c>
      <c r="L340" s="11">
        <v>0</v>
      </c>
      <c r="M340" t="s">
        <v>598</v>
      </c>
      <c r="N340" s="12">
        <v>2</v>
      </c>
      <c r="O340" s="12">
        <v>0</v>
      </c>
      <c r="P340" s="12">
        <v>1</v>
      </c>
      <c r="Q340" s="12">
        <v>1</v>
      </c>
      <c r="R340" s="12">
        <v>2</v>
      </c>
      <c r="S340" s="12">
        <v>2</v>
      </c>
      <c r="T340" s="1" t="s">
        <v>600</v>
      </c>
      <c r="U340" s="1" t="s">
        <v>596</v>
      </c>
      <c r="V340">
        <v>20260719</v>
      </c>
      <c r="W340">
        <v>46222.653275462966</v>
      </c>
    </row>
    <row r="341" spans="1:23" ht="30">
      <c r="A341" t="s">
        <v>452</v>
      </c>
      <c r="B341" t="s">
        <v>234</v>
      </c>
      <c r="C341" t="s">
        <v>20</v>
      </c>
      <c r="D341" t="s">
        <v>51</v>
      </c>
      <c r="E341" t="s">
        <v>229</v>
      </c>
      <c r="F341" s="1" t="s">
        <v>235</v>
      </c>
      <c r="G341" s="1" t="s">
        <v>236</v>
      </c>
      <c r="H341" s="1" t="s">
        <v>453</v>
      </c>
      <c r="I341">
        <v>30</v>
      </c>
      <c r="J341">
        <v>1</v>
      </c>
      <c r="K341">
        <v>1</v>
      </c>
      <c r="L341" s="11">
        <v>0</v>
      </c>
      <c r="M341" t="s">
        <v>594</v>
      </c>
      <c r="N341" s="12">
        <v>1</v>
      </c>
      <c r="O341" s="12">
        <v>1</v>
      </c>
      <c r="P341" s="12">
        <v>0</v>
      </c>
      <c r="Q341" s="12">
        <v>0</v>
      </c>
      <c r="R341" s="12">
        <v>2</v>
      </c>
      <c r="S341" s="12">
        <v>3</v>
      </c>
      <c r="T341" s="1" t="s">
        <v>600</v>
      </c>
      <c r="U341" s="1" t="s">
        <v>596</v>
      </c>
      <c r="V341">
        <v>20260719</v>
      </c>
      <c r="W341">
        <v>46222.653275462966</v>
      </c>
    </row>
    <row r="342" spans="1:23" ht="30">
      <c r="A342" t="s">
        <v>452</v>
      </c>
      <c r="B342" t="s">
        <v>234</v>
      </c>
      <c r="C342" t="s">
        <v>20</v>
      </c>
      <c r="D342" t="s">
        <v>51</v>
      </c>
      <c r="E342" t="s">
        <v>229</v>
      </c>
      <c r="F342" s="1" t="s">
        <v>235</v>
      </c>
      <c r="G342" s="1" t="s">
        <v>236</v>
      </c>
      <c r="H342" s="1" t="s">
        <v>453</v>
      </c>
      <c r="I342">
        <v>30</v>
      </c>
      <c r="J342">
        <v>1</v>
      </c>
      <c r="K342">
        <v>1</v>
      </c>
      <c r="L342" s="11">
        <v>0</v>
      </c>
      <c r="M342" t="s">
        <v>597</v>
      </c>
      <c r="N342" s="12">
        <v>1</v>
      </c>
      <c r="O342" s="12">
        <v>1</v>
      </c>
      <c r="P342" s="12">
        <v>0</v>
      </c>
      <c r="Q342" s="12">
        <v>0</v>
      </c>
      <c r="R342" s="12">
        <v>2</v>
      </c>
      <c r="S342" s="12">
        <v>2</v>
      </c>
      <c r="T342" s="1" t="s">
        <v>600</v>
      </c>
      <c r="U342" s="1" t="s">
        <v>596</v>
      </c>
      <c r="V342">
        <v>20260719</v>
      </c>
      <c r="W342">
        <v>46222.653275462966</v>
      </c>
    </row>
    <row r="343" spans="1:23" ht="30">
      <c r="A343" t="s">
        <v>452</v>
      </c>
      <c r="B343" t="s">
        <v>234</v>
      </c>
      <c r="C343" t="s">
        <v>20</v>
      </c>
      <c r="D343" t="s">
        <v>51</v>
      </c>
      <c r="E343" t="s">
        <v>229</v>
      </c>
      <c r="F343" s="1" t="s">
        <v>235</v>
      </c>
      <c r="G343" s="1" t="s">
        <v>236</v>
      </c>
      <c r="H343" s="1" t="s">
        <v>453</v>
      </c>
      <c r="I343">
        <v>30</v>
      </c>
      <c r="J343">
        <v>1</v>
      </c>
      <c r="K343">
        <v>1</v>
      </c>
      <c r="L343" s="11">
        <v>0</v>
      </c>
      <c r="M343" t="s">
        <v>598</v>
      </c>
      <c r="N343" s="12">
        <v>1</v>
      </c>
      <c r="O343" s="12">
        <v>0</v>
      </c>
      <c r="P343" s="12">
        <v>1</v>
      </c>
      <c r="Q343" s="12">
        <v>1</v>
      </c>
      <c r="R343" s="12">
        <v>3</v>
      </c>
      <c r="S343" s="12">
        <v>3</v>
      </c>
      <c r="T343" s="1" t="s">
        <v>600</v>
      </c>
      <c r="U343" s="1" t="s">
        <v>596</v>
      </c>
      <c r="V343">
        <v>20260719</v>
      </c>
      <c r="W343">
        <v>46222.653275462966</v>
      </c>
    </row>
    <row r="344" spans="1:23" ht="30">
      <c r="A344" t="s">
        <v>454</v>
      </c>
      <c r="B344" t="s">
        <v>239</v>
      </c>
      <c r="C344" t="s">
        <v>20</v>
      </c>
      <c r="D344" t="s">
        <v>51</v>
      </c>
      <c r="E344" t="s">
        <v>229</v>
      </c>
      <c r="F344" s="1" t="s">
        <v>240</v>
      </c>
      <c r="G344" s="1" t="s">
        <v>241</v>
      </c>
      <c r="H344" s="1" t="s">
        <v>455</v>
      </c>
      <c r="I344">
        <v>29</v>
      </c>
      <c r="J344">
        <v>0</v>
      </c>
      <c r="K344">
        <v>0</v>
      </c>
      <c r="L344" s="11">
        <v>0</v>
      </c>
      <c r="M344" t="s">
        <v>594</v>
      </c>
      <c r="N344" s="12">
        <v>2</v>
      </c>
      <c r="O344" s="12">
        <v>1</v>
      </c>
      <c r="P344" s="12">
        <v>2</v>
      </c>
      <c r="Q344" s="12">
        <v>1</v>
      </c>
      <c r="R344" s="12">
        <v>2</v>
      </c>
      <c r="S344" s="12">
        <v>2</v>
      </c>
      <c r="T344" s="1" t="s">
        <v>601</v>
      </c>
      <c r="U344" s="1" t="s">
        <v>596</v>
      </c>
      <c r="V344">
        <v>20260719</v>
      </c>
      <c r="W344">
        <v>46222.653275462966</v>
      </c>
    </row>
    <row r="345" spans="1:23" ht="30">
      <c r="A345" t="s">
        <v>454</v>
      </c>
      <c r="B345" t="s">
        <v>239</v>
      </c>
      <c r="C345" t="s">
        <v>20</v>
      </c>
      <c r="D345" t="s">
        <v>51</v>
      </c>
      <c r="E345" t="s">
        <v>229</v>
      </c>
      <c r="F345" s="1" t="s">
        <v>240</v>
      </c>
      <c r="G345" s="1" t="s">
        <v>241</v>
      </c>
      <c r="H345" s="1" t="s">
        <v>455</v>
      </c>
      <c r="I345">
        <v>29</v>
      </c>
      <c r="J345">
        <v>0</v>
      </c>
      <c r="K345">
        <v>0</v>
      </c>
      <c r="L345" s="11">
        <v>0</v>
      </c>
      <c r="M345" t="s">
        <v>597</v>
      </c>
      <c r="N345" s="12">
        <v>2</v>
      </c>
      <c r="O345" s="12">
        <v>2</v>
      </c>
      <c r="P345" s="12">
        <v>2</v>
      </c>
      <c r="Q345" s="12">
        <v>2</v>
      </c>
      <c r="R345" s="12">
        <v>2</v>
      </c>
      <c r="S345" s="12">
        <v>2</v>
      </c>
      <c r="T345" s="1" t="s">
        <v>601</v>
      </c>
      <c r="U345" s="1" t="s">
        <v>596</v>
      </c>
      <c r="V345">
        <v>20260719</v>
      </c>
      <c r="W345">
        <v>46222.653275462966</v>
      </c>
    </row>
    <row r="346" spans="1:23" ht="30">
      <c r="A346" t="s">
        <v>454</v>
      </c>
      <c r="B346" t="s">
        <v>239</v>
      </c>
      <c r="C346" t="s">
        <v>20</v>
      </c>
      <c r="D346" t="s">
        <v>51</v>
      </c>
      <c r="E346" t="s">
        <v>229</v>
      </c>
      <c r="F346" s="1" t="s">
        <v>240</v>
      </c>
      <c r="G346" s="1" t="s">
        <v>241</v>
      </c>
      <c r="H346" s="1" t="s">
        <v>455</v>
      </c>
      <c r="I346">
        <v>29</v>
      </c>
      <c r="J346">
        <v>0</v>
      </c>
      <c r="K346">
        <v>0</v>
      </c>
      <c r="L346" s="11">
        <v>0</v>
      </c>
      <c r="M346" t="s">
        <v>598</v>
      </c>
      <c r="N346" s="12">
        <v>2</v>
      </c>
      <c r="O346" s="12">
        <v>2</v>
      </c>
      <c r="P346" s="12">
        <v>2</v>
      </c>
      <c r="Q346" s="12">
        <v>2</v>
      </c>
      <c r="R346" s="12">
        <v>2</v>
      </c>
      <c r="S346" s="12">
        <v>2</v>
      </c>
      <c r="T346" s="1" t="s">
        <v>601</v>
      </c>
      <c r="U346" s="1" t="s">
        <v>596</v>
      </c>
      <c r="V346">
        <v>20260719</v>
      </c>
      <c r="W346">
        <v>46222.653275462966</v>
      </c>
    </row>
    <row r="347" spans="1:23" ht="30">
      <c r="A347" t="s">
        <v>457</v>
      </c>
      <c r="B347" t="s">
        <v>244</v>
      </c>
      <c r="C347" t="s">
        <v>20</v>
      </c>
      <c r="D347" t="s">
        <v>51</v>
      </c>
      <c r="E347" t="s">
        <v>229</v>
      </c>
      <c r="F347" s="1" t="s">
        <v>245</v>
      </c>
      <c r="G347" s="1" t="s">
        <v>246</v>
      </c>
      <c r="H347" s="1" t="s">
        <v>458</v>
      </c>
      <c r="I347">
        <v>25</v>
      </c>
      <c r="J347">
        <v>0</v>
      </c>
      <c r="K347">
        <v>0</v>
      </c>
      <c r="L347" s="11">
        <v>0</v>
      </c>
      <c r="M347" t="s">
        <v>594</v>
      </c>
      <c r="N347" s="12">
        <v>1</v>
      </c>
      <c r="O347" s="12">
        <v>2</v>
      </c>
      <c r="P347" s="12">
        <v>2</v>
      </c>
      <c r="Q347" s="12">
        <v>1</v>
      </c>
      <c r="R347" s="12">
        <v>2</v>
      </c>
      <c r="S347" s="12">
        <v>3</v>
      </c>
      <c r="T347" s="1" t="s">
        <v>601</v>
      </c>
      <c r="U347" s="1" t="s">
        <v>596</v>
      </c>
      <c r="V347">
        <v>20260719</v>
      </c>
      <c r="W347">
        <v>46222.653275462966</v>
      </c>
    </row>
    <row r="348" spans="1:23" ht="30">
      <c r="A348" t="s">
        <v>457</v>
      </c>
      <c r="B348" t="s">
        <v>244</v>
      </c>
      <c r="C348" t="s">
        <v>20</v>
      </c>
      <c r="D348" t="s">
        <v>51</v>
      </c>
      <c r="E348" t="s">
        <v>229</v>
      </c>
      <c r="F348" s="1" t="s">
        <v>245</v>
      </c>
      <c r="G348" s="1" t="s">
        <v>246</v>
      </c>
      <c r="H348" s="1" t="s">
        <v>458</v>
      </c>
      <c r="I348">
        <v>25</v>
      </c>
      <c r="J348">
        <v>0</v>
      </c>
      <c r="K348">
        <v>0</v>
      </c>
      <c r="L348" s="11">
        <v>0</v>
      </c>
      <c r="M348" t="s">
        <v>597</v>
      </c>
      <c r="N348" s="12">
        <v>2</v>
      </c>
      <c r="O348" s="12">
        <v>3</v>
      </c>
      <c r="P348" s="12">
        <v>3</v>
      </c>
      <c r="Q348" s="12">
        <v>2</v>
      </c>
      <c r="R348" s="12">
        <v>2</v>
      </c>
      <c r="S348" s="12">
        <v>3</v>
      </c>
      <c r="T348" s="1" t="s">
        <v>601</v>
      </c>
      <c r="U348" s="1" t="s">
        <v>596</v>
      </c>
      <c r="V348">
        <v>20260719</v>
      </c>
      <c r="W348">
        <v>46222.653275462966</v>
      </c>
    </row>
    <row r="349" spans="1:23" ht="30">
      <c r="A349" t="s">
        <v>457</v>
      </c>
      <c r="B349" t="s">
        <v>244</v>
      </c>
      <c r="C349" t="s">
        <v>20</v>
      </c>
      <c r="D349" t="s">
        <v>51</v>
      </c>
      <c r="E349" t="s">
        <v>229</v>
      </c>
      <c r="F349" s="1" t="s">
        <v>245</v>
      </c>
      <c r="G349" s="1" t="s">
        <v>246</v>
      </c>
      <c r="H349" s="1" t="s">
        <v>458</v>
      </c>
      <c r="I349">
        <v>25</v>
      </c>
      <c r="J349">
        <v>0</v>
      </c>
      <c r="K349">
        <v>0</v>
      </c>
      <c r="L349" s="11">
        <v>0</v>
      </c>
      <c r="M349" t="s">
        <v>598</v>
      </c>
      <c r="N349" s="12">
        <v>2</v>
      </c>
      <c r="O349" s="12">
        <v>3</v>
      </c>
      <c r="P349" s="12">
        <v>3</v>
      </c>
      <c r="Q349" s="12">
        <v>2</v>
      </c>
      <c r="R349" s="12">
        <v>2</v>
      </c>
      <c r="S349" s="12">
        <v>3</v>
      </c>
      <c r="T349" s="1" t="s">
        <v>601</v>
      </c>
      <c r="U349" s="1" t="s">
        <v>596</v>
      </c>
      <c r="V349">
        <v>20260719</v>
      </c>
      <c r="W349">
        <v>46222.653275462966</v>
      </c>
    </row>
    <row r="350" spans="1:23" ht="30">
      <c r="A350" t="s">
        <v>459</v>
      </c>
      <c r="B350" t="s">
        <v>249</v>
      </c>
      <c r="C350" t="s">
        <v>20</v>
      </c>
      <c r="D350" t="s">
        <v>51</v>
      </c>
      <c r="E350" t="s">
        <v>250</v>
      </c>
      <c r="F350" s="1" t="s">
        <v>251</v>
      </c>
      <c r="G350" s="1" t="s">
        <v>252</v>
      </c>
      <c r="H350" s="1" t="s">
        <v>460</v>
      </c>
      <c r="I350">
        <v>25</v>
      </c>
      <c r="J350">
        <v>0</v>
      </c>
      <c r="K350">
        <v>0</v>
      </c>
      <c r="L350" s="11">
        <v>0</v>
      </c>
      <c r="M350" t="s">
        <v>594</v>
      </c>
      <c r="N350" s="12">
        <v>1</v>
      </c>
      <c r="O350" s="12">
        <v>2</v>
      </c>
      <c r="P350" s="12">
        <v>3</v>
      </c>
      <c r="Q350" s="12">
        <v>1</v>
      </c>
      <c r="R350" s="12">
        <v>2</v>
      </c>
      <c r="S350" s="12">
        <v>3</v>
      </c>
      <c r="T350" s="1" t="s">
        <v>601</v>
      </c>
      <c r="U350" s="1" t="s">
        <v>596</v>
      </c>
      <c r="V350">
        <v>20260719</v>
      </c>
      <c r="W350">
        <v>46222.653275462966</v>
      </c>
    </row>
    <row r="351" spans="1:23" ht="30">
      <c r="A351" t="s">
        <v>459</v>
      </c>
      <c r="B351" t="s">
        <v>249</v>
      </c>
      <c r="C351" t="s">
        <v>20</v>
      </c>
      <c r="D351" t="s">
        <v>51</v>
      </c>
      <c r="E351" t="s">
        <v>250</v>
      </c>
      <c r="F351" s="1" t="s">
        <v>251</v>
      </c>
      <c r="G351" s="1" t="s">
        <v>252</v>
      </c>
      <c r="H351" s="1" t="s">
        <v>460</v>
      </c>
      <c r="I351">
        <v>25</v>
      </c>
      <c r="J351">
        <v>0</v>
      </c>
      <c r="K351">
        <v>0</v>
      </c>
      <c r="L351" s="11">
        <v>0</v>
      </c>
      <c r="M351" t="s">
        <v>597</v>
      </c>
      <c r="N351" s="12">
        <v>1</v>
      </c>
      <c r="O351" s="12">
        <v>2</v>
      </c>
      <c r="P351" s="12">
        <v>2</v>
      </c>
      <c r="Q351" s="12">
        <v>1</v>
      </c>
      <c r="R351" s="12">
        <v>2</v>
      </c>
      <c r="S351" s="12">
        <v>3</v>
      </c>
      <c r="T351" s="1" t="s">
        <v>601</v>
      </c>
      <c r="U351" s="1" t="s">
        <v>596</v>
      </c>
      <c r="V351">
        <v>20260719</v>
      </c>
      <c r="W351">
        <v>46222.653275462966</v>
      </c>
    </row>
    <row r="352" spans="1:23" ht="30">
      <c r="A352" t="s">
        <v>459</v>
      </c>
      <c r="B352" t="s">
        <v>249</v>
      </c>
      <c r="C352" t="s">
        <v>20</v>
      </c>
      <c r="D352" t="s">
        <v>51</v>
      </c>
      <c r="E352" t="s">
        <v>250</v>
      </c>
      <c r="F352" s="1" t="s">
        <v>251</v>
      </c>
      <c r="G352" s="1" t="s">
        <v>252</v>
      </c>
      <c r="H352" s="1" t="s">
        <v>460</v>
      </c>
      <c r="I352">
        <v>25</v>
      </c>
      <c r="J352">
        <v>0</v>
      </c>
      <c r="K352">
        <v>0</v>
      </c>
      <c r="L352" s="11">
        <v>0</v>
      </c>
      <c r="M352" t="s">
        <v>598</v>
      </c>
      <c r="N352" s="12">
        <v>2</v>
      </c>
      <c r="O352" s="12">
        <v>2</v>
      </c>
      <c r="P352" s="12">
        <v>2</v>
      </c>
      <c r="Q352" s="12">
        <v>1</v>
      </c>
      <c r="R352" s="12">
        <v>2</v>
      </c>
      <c r="S352" s="12">
        <v>2</v>
      </c>
      <c r="T352" s="1" t="s">
        <v>601</v>
      </c>
      <c r="U352" s="1" t="s">
        <v>596</v>
      </c>
      <c r="V352">
        <v>20260719</v>
      </c>
      <c r="W352">
        <v>46222.653275462966</v>
      </c>
    </row>
    <row r="353" spans="1:23" ht="30">
      <c r="A353" t="s">
        <v>461</v>
      </c>
      <c r="B353" t="s">
        <v>255</v>
      </c>
      <c r="C353" t="s">
        <v>20</v>
      </c>
      <c r="D353" t="s">
        <v>51</v>
      </c>
      <c r="E353" t="s">
        <v>250</v>
      </c>
      <c r="F353" s="1" t="s">
        <v>256</v>
      </c>
      <c r="G353" s="1" t="s">
        <v>257</v>
      </c>
      <c r="H353" s="1" t="s">
        <v>462</v>
      </c>
      <c r="I353">
        <v>30</v>
      </c>
      <c r="J353">
        <v>0</v>
      </c>
      <c r="K353">
        <v>0</v>
      </c>
      <c r="L353" s="11">
        <v>0</v>
      </c>
      <c r="M353" t="s">
        <v>594</v>
      </c>
      <c r="N353" s="12">
        <v>0</v>
      </c>
      <c r="O353" s="12">
        <v>2</v>
      </c>
      <c r="P353" s="12">
        <v>1</v>
      </c>
      <c r="Q353" s="12">
        <v>0</v>
      </c>
      <c r="R353" s="12">
        <v>2</v>
      </c>
      <c r="S353" s="12">
        <v>2</v>
      </c>
      <c r="T353" s="1" t="s">
        <v>601</v>
      </c>
      <c r="U353" s="1" t="s">
        <v>596</v>
      </c>
      <c r="V353">
        <v>20260719</v>
      </c>
      <c r="W353">
        <v>46222.653275462966</v>
      </c>
    </row>
    <row r="354" spans="1:23" ht="30">
      <c r="A354" t="s">
        <v>461</v>
      </c>
      <c r="B354" t="s">
        <v>255</v>
      </c>
      <c r="C354" t="s">
        <v>20</v>
      </c>
      <c r="D354" t="s">
        <v>51</v>
      </c>
      <c r="E354" t="s">
        <v>250</v>
      </c>
      <c r="F354" s="1" t="s">
        <v>256</v>
      </c>
      <c r="G354" s="1" t="s">
        <v>257</v>
      </c>
      <c r="H354" s="1" t="s">
        <v>462</v>
      </c>
      <c r="I354">
        <v>30</v>
      </c>
      <c r="J354">
        <v>0</v>
      </c>
      <c r="K354">
        <v>0</v>
      </c>
      <c r="L354" s="11">
        <v>0</v>
      </c>
      <c r="M354" t="s">
        <v>597</v>
      </c>
      <c r="N354" s="12">
        <v>1</v>
      </c>
      <c r="O354" s="12">
        <v>2</v>
      </c>
      <c r="P354" s="12">
        <v>2</v>
      </c>
      <c r="Q354" s="12">
        <v>1</v>
      </c>
      <c r="R354" s="12">
        <v>1</v>
      </c>
      <c r="S354" s="12">
        <v>2</v>
      </c>
      <c r="T354" s="1" t="s">
        <v>601</v>
      </c>
      <c r="U354" s="1" t="s">
        <v>596</v>
      </c>
      <c r="V354">
        <v>20260719</v>
      </c>
      <c r="W354">
        <v>46222.653275462966</v>
      </c>
    </row>
    <row r="355" spans="1:23" ht="30">
      <c r="A355" t="s">
        <v>461</v>
      </c>
      <c r="B355" t="s">
        <v>255</v>
      </c>
      <c r="C355" t="s">
        <v>20</v>
      </c>
      <c r="D355" t="s">
        <v>51</v>
      </c>
      <c r="E355" t="s">
        <v>250</v>
      </c>
      <c r="F355" s="1" t="s">
        <v>256</v>
      </c>
      <c r="G355" s="1" t="s">
        <v>257</v>
      </c>
      <c r="H355" s="1" t="s">
        <v>462</v>
      </c>
      <c r="I355">
        <v>30</v>
      </c>
      <c r="J355">
        <v>0</v>
      </c>
      <c r="K355">
        <v>0</v>
      </c>
      <c r="L355" s="11">
        <v>0</v>
      </c>
      <c r="M355" t="s">
        <v>598</v>
      </c>
      <c r="N355" s="12">
        <v>0</v>
      </c>
      <c r="O355" s="12">
        <v>2</v>
      </c>
      <c r="P355" s="12">
        <v>2</v>
      </c>
      <c r="Q355" s="12">
        <v>0</v>
      </c>
      <c r="R355" s="12">
        <v>2</v>
      </c>
      <c r="S355" s="12">
        <v>2</v>
      </c>
      <c r="T355" s="1" t="s">
        <v>601</v>
      </c>
      <c r="U355" s="1" t="s">
        <v>596</v>
      </c>
      <c r="V355">
        <v>20260719</v>
      </c>
      <c r="W355">
        <v>46222.653275462966</v>
      </c>
    </row>
    <row r="356" spans="1:23" ht="30">
      <c r="A356" t="s">
        <v>463</v>
      </c>
      <c r="B356" t="s">
        <v>260</v>
      </c>
      <c r="C356" t="s">
        <v>20</v>
      </c>
      <c r="D356" t="s">
        <v>51</v>
      </c>
      <c r="E356" t="s">
        <v>250</v>
      </c>
      <c r="F356" s="1" t="s">
        <v>261</v>
      </c>
      <c r="G356" s="1" t="s">
        <v>262</v>
      </c>
      <c r="H356" s="1" t="s">
        <v>464</v>
      </c>
      <c r="I356">
        <v>24</v>
      </c>
      <c r="J356">
        <v>0</v>
      </c>
      <c r="K356">
        <v>0</v>
      </c>
      <c r="L356" s="11">
        <v>0</v>
      </c>
      <c r="M356" t="s">
        <v>594</v>
      </c>
      <c r="N356" s="12">
        <v>0</v>
      </c>
      <c r="O356" s="12">
        <v>2</v>
      </c>
      <c r="P356" s="12">
        <v>2</v>
      </c>
      <c r="Q356" s="12">
        <v>0</v>
      </c>
      <c r="R356" s="12">
        <v>1</v>
      </c>
      <c r="S356" s="12">
        <v>2</v>
      </c>
      <c r="T356" s="1" t="s">
        <v>601</v>
      </c>
      <c r="U356" s="1" t="s">
        <v>596</v>
      </c>
      <c r="V356">
        <v>20260719</v>
      </c>
      <c r="W356">
        <v>46222.653275462966</v>
      </c>
    </row>
    <row r="357" spans="1:23" ht="30">
      <c r="A357" t="s">
        <v>463</v>
      </c>
      <c r="B357" t="s">
        <v>260</v>
      </c>
      <c r="C357" t="s">
        <v>20</v>
      </c>
      <c r="D357" t="s">
        <v>51</v>
      </c>
      <c r="E357" t="s">
        <v>250</v>
      </c>
      <c r="F357" s="1" t="s">
        <v>261</v>
      </c>
      <c r="G357" s="1" t="s">
        <v>262</v>
      </c>
      <c r="H357" s="1" t="s">
        <v>464</v>
      </c>
      <c r="I357">
        <v>24</v>
      </c>
      <c r="J357">
        <v>0</v>
      </c>
      <c r="K357">
        <v>0</v>
      </c>
      <c r="L357" s="11">
        <v>0</v>
      </c>
      <c r="M357" t="s">
        <v>597</v>
      </c>
      <c r="N357" s="12">
        <v>1</v>
      </c>
      <c r="O357" s="12">
        <v>3</v>
      </c>
      <c r="P357" s="12">
        <v>2</v>
      </c>
      <c r="Q357" s="12">
        <v>0</v>
      </c>
      <c r="R357" s="12">
        <v>2</v>
      </c>
      <c r="S357" s="12">
        <v>2</v>
      </c>
      <c r="T357" s="1" t="s">
        <v>601</v>
      </c>
      <c r="U357" s="1" t="s">
        <v>596</v>
      </c>
      <c r="V357">
        <v>20260719</v>
      </c>
      <c r="W357">
        <v>46222.653275462966</v>
      </c>
    </row>
    <row r="358" spans="1:23" ht="30">
      <c r="A358" t="s">
        <v>463</v>
      </c>
      <c r="B358" t="s">
        <v>260</v>
      </c>
      <c r="C358" t="s">
        <v>20</v>
      </c>
      <c r="D358" t="s">
        <v>51</v>
      </c>
      <c r="E358" t="s">
        <v>250</v>
      </c>
      <c r="F358" s="1" t="s">
        <v>261</v>
      </c>
      <c r="G358" s="1" t="s">
        <v>262</v>
      </c>
      <c r="H358" s="1" t="s">
        <v>464</v>
      </c>
      <c r="I358">
        <v>24</v>
      </c>
      <c r="J358">
        <v>0</v>
      </c>
      <c r="K358">
        <v>0</v>
      </c>
      <c r="L358" s="11">
        <v>0</v>
      </c>
      <c r="M358" t="s">
        <v>598</v>
      </c>
      <c r="N358" s="12">
        <v>0</v>
      </c>
      <c r="O358" s="12">
        <v>2</v>
      </c>
      <c r="P358" s="12">
        <v>2</v>
      </c>
      <c r="Q358" s="12">
        <v>0</v>
      </c>
      <c r="R358" s="12">
        <v>2</v>
      </c>
      <c r="S358" s="12">
        <v>2</v>
      </c>
      <c r="T358" s="1" t="s">
        <v>601</v>
      </c>
      <c r="U358" s="1" t="s">
        <v>596</v>
      </c>
      <c r="V358">
        <v>20260719</v>
      </c>
      <c r="W358">
        <v>46222.653275462966</v>
      </c>
    </row>
    <row r="359" spans="1:23" ht="45">
      <c r="A359" t="s">
        <v>465</v>
      </c>
      <c r="B359" t="s">
        <v>265</v>
      </c>
      <c r="C359" t="s">
        <v>20</v>
      </c>
      <c r="D359" t="s">
        <v>51</v>
      </c>
      <c r="E359" t="s">
        <v>250</v>
      </c>
      <c r="F359" s="1" t="s">
        <v>266</v>
      </c>
      <c r="G359" s="1" t="s">
        <v>267</v>
      </c>
      <c r="H359" s="1" t="s">
        <v>466</v>
      </c>
      <c r="I359">
        <v>30</v>
      </c>
      <c r="J359">
        <v>0</v>
      </c>
      <c r="K359">
        <v>0</v>
      </c>
      <c r="L359" s="11">
        <v>0</v>
      </c>
      <c r="M359" t="s">
        <v>594</v>
      </c>
      <c r="N359" s="12">
        <v>1</v>
      </c>
      <c r="O359" s="12">
        <v>2</v>
      </c>
      <c r="P359" s="12">
        <v>2</v>
      </c>
      <c r="Q359" s="12">
        <v>1</v>
      </c>
      <c r="R359" s="12">
        <v>2</v>
      </c>
      <c r="S359" s="12">
        <v>3</v>
      </c>
      <c r="T359" s="1" t="s">
        <v>601</v>
      </c>
      <c r="U359" s="1" t="s">
        <v>596</v>
      </c>
      <c r="V359">
        <v>20260719</v>
      </c>
      <c r="W359">
        <v>46222.653275462966</v>
      </c>
    </row>
    <row r="360" spans="1:23" ht="45">
      <c r="A360" t="s">
        <v>465</v>
      </c>
      <c r="B360" t="s">
        <v>265</v>
      </c>
      <c r="C360" t="s">
        <v>20</v>
      </c>
      <c r="D360" t="s">
        <v>51</v>
      </c>
      <c r="E360" t="s">
        <v>250</v>
      </c>
      <c r="F360" s="1" t="s">
        <v>266</v>
      </c>
      <c r="G360" s="1" t="s">
        <v>267</v>
      </c>
      <c r="H360" s="1" t="s">
        <v>466</v>
      </c>
      <c r="I360">
        <v>30</v>
      </c>
      <c r="J360">
        <v>0</v>
      </c>
      <c r="K360">
        <v>0</v>
      </c>
      <c r="L360" s="11">
        <v>0</v>
      </c>
      <c r="M360" t="s">
        <v>597</v>
      </c>
      <c r="N360" s="12">
        <v>1</v>
      </c>
      <c r="O360" s="12">
        <v>2</v>
      </c>
      <c r="P360" s="12">
        <v>2</v>
      </c>
      <c r="Q360" s="12">
        <v>1</v>
      </c>
      <c r="R360" s="12">
        <v>2</v>
      </c>
      <c r="S360" s="12">
        <v>3</v>
      </c>
      <c r="T360" s="1" t="s">
        <v>601</v>
      </c>
      <c r="U360" s="1" t="s">
        <v>596</v>
      </c>
      <c r="V360">
        <v>20260719</v>
      </c>
      <c r="W360">
        <v>46222.653275462966</v>
      </c>
    </row>
    <row r="361" spans="1:23" ht="45">
      <c r="A361" t="s">
        <v>465</v>
      </c>
      <c r="B361" t="s">
        <v>265</v>
      </c>
      <c r="C361" t="s">
        <v>20</v>
      </c>
      <c r="D361" t="s">
        <v>51</v>
      </c>
      <c r="E361" t="s">
        <v>250</v>
      </c>
      <c r="F361" s="1" t="s">
        <v>266</v>
      </c>
      <c r="G361" s="1" t="s">
        <v>267</v>
      </c>
      <c r="H361" s="1" t="s">
        <v>466</v>
      </c>
      <c r="I361">
        <v>30</v>
      </c>
      <c r="J361">
        <v>0</v>
      </c>
      <c r="K361">
        <v>0</v>
      </c>
      <c r="L361" s="11">
        <v>0</v>
      </c>
      <c r="M361" t="s">
        <v>598</v>
      </c>
      <c r="N361" s="12">
        <v>1</v>
      </c>
      <c r="O361" s="12">
        <v>3</v>
      </c>
      <c r="P361" s="12">
        <v>2</v>
      </c>
      <c r="Q361" s="12">
        <v>1</v>
      </c>
      <c r="R361" s="12">
        <v>2</v>
      </c>
      <c r="S361" s="12">
        <v>3</v>
      </c>
      <c r="T361" s="1" t="s">
        <v>601</v>
      </c>
      <c r="U361" s="1" t="s">
        <v>596</v>
      </c>
      <c r="V361">
        <v>20260719</v>
      </c>
      <c r="W361">
        <v>46222.653275462966</v>
      </c>
    </row>
    <row r="362" spans="1:23" ht="45">
      <c r="A362" t="s">
        <v>467</v>
      </c>
      <c r="B362" t="s">
        <v>142</v>
      </c>
      <c r="C362" t="s">
        <v>21</v>
      </c>
      <c r="D362" t="s">
        <v>52</v>
      </c>
      <c r="E362" t="s">
        <v>143</v>
      </c>
      <c r="F362" s="1" t="s">
        <v>144</v>
      </c>
      <c r="G362" s="1" t="s">
        <v>145</v>
      </c>
      <c r="H362" s="1" t="s">
        <v>417</v>
      </c>
      <c r="I362">
        <v>29</v>
      </c>
      <c r="J362">
        <v>0</v>
      </c>
      <c r="K362">
        <v>1</v>
      </c>
      <c r="L362" s="11">
        <v>-3.4483E-2</v>
      </c>
      <c r="M362" t="s">
        <v>594</v>
      </c>
      <c r="N362" s="12">
        <v>2</v>
      </c>
      <c r="O362" s="12">
        <v>3</v>
      </c>
      <c r="P362" s="12">
        <v>3</v>
      </c>
      <c r="Q362" s="12">
        <v>1</v>
      </c>
      <c r="R362" s="12">
        <v>2</v>
      </c>
      <c r="S362" s="12">
        <v>2</v>
      </c>
      <c r="T362" s="1" t="s">
        <v>599</v>
      </c>
      <c r="U362" s="1" t="s">
        <v>596</v>
      </c>
      <c r="V362">
        <v>20260719</v>
      </c>
      <c r="W362">
        <v>46222.653275462966</v>
      </c>
    </row>
    <row r="363" spans="1:23" ht="45">
      <c r="A363" t="s">
        <v>467</v>
      </c>
      <c r="B363" t="s">
        <v>142</v>
      </c>
      <c r="C363" t="s">
        <v>21</v>
      </c>
      <c r="D363" t="s">
        <v>52</v>
      </c>
      <c r="E363" t="s">
        <v>143</v>
      </c>
      <c r="F363" s="1" t="s">
        <v>144</v>
      </c>
      <c r="G363" s="1" t="s">
        <v>145</v>
      </c>
      <c r="H363" s="1" t="s">
        <v>417</v>
      </c>
      <c r="I363">
        <v>29</v>
      </c>
      <c r="J363">
        <v>0</v>
      </c>
      <c r="K363">
        <v>1</v>
      </c>
      <c r="L363" s="11">
        <v>-3.4483E-2</v>
      </c>
      <c r="M363" t="s">
        <v>597</v>
      </c>
      <c r="N363" s="12">
        <v>1</v>
      </c>
      <c r="O363" s="12">
        <v>3</v>
      </c>
      <c r="P363" s="12">
        <v>3</v>
      </c>
      <c r="Q363" s="12">
        <v>1</v>
      </c>
      <c r="R363" s="12">
        <v>3</v>
      </c>
      <c r="S363" s="12">
        <v>3</v>
      </c>
      <c r="T363" s="1" t="s">
        <v>599</v>
      </c>
      <c r="U363" s="1" t="s">
        <v>596</v>
      </c>
      <c r="V363">
        <v>20260719</v>
      </c>
      <c r="W363">
        <v>46222.653275462966</v>
      </c>
    </row>
    <row r="364" spans="1:23" ht="45">
      <c r="A364" t="s">
        <v>467</v>
      </c>
      <c r="B364" t="s">
        <v>142</v>
      </c>
      <c r="C364" t="s">
        <v>21</v>
      </c>
      <c r="D364" t="s">
        <v>52</v>
      </c>
      <c r="E364" t="s">
        <v>143</v>
      </c>
      <c r="F364" s="1" t="s">
        <v>144</v>
      </c>
      <c r="G364" s="1" t="s">
        <v>145</v>
      </c>
      <c r="H364" s="1" t="s">
        <v>417</v>
      </c>
      <c r="I364">
        <v>29</v>
      </c>
      <c r="J364">
        <v>0</v>
      </c>
      <c r="K364">
        <v>1</v>
      </c>
      <c r="L364" s="11">
        <v>-3.4483E-2</v>
      </c>
      <c r="M364" t="s">
        <v>598</v>
      </c>
      <c r="N364" s="12">
        <v>1</v>
      </c>
      <c r="O364" s="12">
        <v>3</v>
      </c>
      <c r="P364" s="12">
        <v>3</v>
      </c>
      <c r="Q364" s="12">
        <v>1</v>
      </c>
      <c r="R364" s="12">
        <v>3</v>
      </c>
      <c r="S364" s="12">
        <v>3</v>
      </c>
      <c r="T364" s="1" t="s">
        <v>599</v>
      </c>
      <c r="U364" s="1" t="s">
        <v>596</v>
      </c>
      <c r="V364">
        <v>20260719</v>
      </c>
      <c r="W364">
        <v>46222.653275462966</v>
      </c>
    </row>
    <row r="365" spans="1:23" ht="45">
      <c r="A365" t="s">
        <v>468</v>
      </c>
      <c r="B365" t="s">
        <v>149</v>
      </c>
      <c r="C365" t="s">
        <v>21</v>
      </c>
      <c r="D365" t="s">
        <v>52</v>
      </c>
      <c r="E365" t="s">
        <v>143</v>
      </c>
      <c r="F365" s="1" t="s">
        <v>150</v>
      </c>
      <c r="G365" s="1" t="s">
        <v>151</v>
      </c>
      <c r="H365" s="1" t="s">
        <v>420</v>
      </c>
      <c r="I365">
        <v>30</v>
      </c>
      <c r="J365">
        <v>0</v>
      </c>
      <c r="K365">
        <v>1</v>
      </c>
      <c r="L365" s="11">
        <v>-3.3333000000000002E-2</v>
      </c>
      <c r="M365" t="s">
        <v>594</v>
      </c>
      <c r="N365" s="12">
        <v>1</v>
      </c>
      <c r="O365" s="12">
        <v>3</v>
      </c>
      <c r="P365" s="12">
        <v>3</v>
      </c>
      <c r="Q365" s="12">
        <v>0</v>
      </c>
      <c r="R365" s="12">
        <v>2</v>
      </c>
      <c r="S365" s="12">
        <v>3</v>
      </c>
      <c r="T365" s="1" t="s">
        <v>599</v>
      </c>
      <c r="U365" s="1" t="s">
        <v>596</v>
      </c>
      <c r="V365">
        <v>20260719</v>
      </c>
      <c r="W365">
        <v>46222.653275462966</v>
      </c>
    </row>
    <row r="366" spans="1:23" ht="45">
      <c r="A366" t="s">
        <v>468</v>
      </c>
      <c r="B366" t="s">
        <v>149</v>
      </c>
      <c r="C366" t="s">
        <v>21</v>
      </c>
      <c r="D366" t="s">
        <v>52</v>
      </c>
      <c r="E366" t="s">
        <v>143</v>
      </c>
      <c r="F366" s="1" t="s">
        <v>150</v>
      </c>
      <c r="G366" s="1" t="s">
        <v>151</v>
      </c>
      <c r="H366" s="1" t="s">
        <v>420</v>
      </c>
      <c r="I366">
        <v>30</v>
      </c>
      <c r="J366">
        <v>0</v>
      </c>
      <c r="K366">
        <v>1</v>
      </c>
      <c r="L366" s="11">
        <v>-3.3333000000000002E-2</v>
      </c>
      <c r="M366" t="s">
        <v>597</v>
      </c>
      <c r="N366" s="12">
        <v>1</v>
      </c>
      <c r="O366" s="12">
        <v>3</v>
      </c>
      <c r="P366" s="12">
        <v>3</v>
      </c>
      <c r="Q366" s="12">
        <v>1</v>
      </c>
      <c r="R366" s="12">
        <v>2</v>
      </c>
      <c r="S366" s="12">
        <v>3</v>
      </c>
      <c r="T366" s="1" t="s">
        <v>599</v>
      </c>
      <c r="U366" s="1" t="s">
        <v>596</v>
      </c>
      <c r="V366">
        <v>20260719</v>
      </c>
      <c r="W366">
        <v>46222.653275462966</v>
      </c>
    </row>
    <row r="367" spans="1:23" ht="45">
      <c r="A367" t="s">
        <v>468</v>
      </c>
      <c r="B367" t="s">
        <v>149</v>
      </c>
      <c r="C367" t="s">
        <v>21</v>
      </c>
      <c r="D367" t="s">
        <v>52</v>
      </c>
      <c r="E367" t="s">
        <v>143</v>
      </c>
      <c r="F367" s="1" t="s">
        <v>150</v>
      </c>
      <c r="G367" s="1" t="s">
        <v>151</v>
      </c>
      <c r="H367" s="1" t="s">
        <v>420</v>
      </c>
      <c r="I367">
        <v>30</v>
      </c>
      <c r="J367">
        <v>0</v>
      </c>
      <c r="K367">
        <v>1</v>
      </c>
      <c r="L367" s="11">
        <v>-3.3333000000000002E-2</v>
      </c>
      <c r="M367" t="s">
        <v>598</v>
      </c>
      <c r="N367" s="12">
        <v>1</v>
      </c>
      <c r="O367" s="12">
        <v>2</v>
      </c>
      <c r="P367" s="12">
        <v>3</v>
      </c>
      <c r="Q367" s="12">
        <v>0</v>
      </c>
      <c r="R367" s="12">
        <v>2</v>
      </c>
      <c r="S367" s="12">
        <v>3</v>
      </c>
      <c r="T367" s="1" t="s">
        <v>599</v>
      </c>
      <c r="U367" s="1" t="s">
        <v>596</v>
      </c>
      <c r="V367">
        <v>20260719</v>
      </c>
      <c r="W367">
        <v>46222.653275462966</v>
      </c>
    </row>
    <row r="368" spans="1:23" ht="30">
      <c r="A368" t="s">
        <v>469</v>
      </c>
      <c r="B368" t="s">
        <v>154</v>
      </c>
      <c r="C368" t="s">
        <v>21</v>
      </c>
      <c r="D368" t="s">
        <v>52</v>
      </c>
      <c r="E368" t="s">
        <v>143</v>
      </c>
      <c r="F368" s="1" t="s">
        <v>155</v>
      </c>
      <c r="G368" s="1" t="s">
        <v>156</v>
      </c>
      <c r="H368" s="1" t="s">
        <v>422</v>
      </c>
      <c r="I368">
        <v>25</v>
      </c>
      <c r="J368">
        <v>0</v>
      </c>
      <c r="K368">
        <v>1</v>
      </c>
      <c r="L368" s="11">
        <v>-0.04</v>
      </c>
      <c r="M368" t="s">
        <v>594</v>
      </c>
      <c r="N368" s="12">
        <v>0</v>
      </c>
      <c r="O368" s="12">
        <v>3</v>
      </c>
      <c r="P368" s="12">
        <v>2</v>
      </c>
      <c r="Q368" s="12">
        <v>1</v>
      </c>
      <c r="R368" s="12">
        <v>2</v>
      </c>
      <c r="S368" s="12">
        <v>3</v>
      </c>
      <c r="T368" s="1" t="s">
        <v>599</v>
      </c>
      <c r="U368" s="1" t="s">
        <v>596</v>
      </c>
      <c r="V368">
        <v>20260719</v>
      </c>
      <c r="W368">
        <v>46222.653275462966</v>
      </c>
    </row>
    <row r="369" spans="1:23" ht="30">
      <c r="A369" t="s">
        <v>469</v>
      </c>
      <c r="B369" t="s">
        <v>154</v>
      </c>
      <c r="C369" t="s">
        <v>21</v>
      </c>
      <c r="D369" t="s">
        <v>52</v>
      </c>
      <c r="E369" t="s">
        <v>143</v>
      </c>
      <c r="F369" s="1" t="s">
        <v>155</v>
      </c>
      <c r="G369" s="1" t="s">
        <v>156</v>
      </c>
      <c r="H369" s="1" t="s">
        <v>422</v>
      </c>
      <c r="I369">
        <v>25</v>
      </c>
      <c r="J369">
        <v>0</v>
      </c>
      <c r="K369">
        <v>1</v>
      </c>
      <c r="L369" s="11">
        <v>-0.04</v>
      </c>
      <c r="M369" t="s">
        <v>597</v>
      </c>
      <c r="N369" s="12">
        <v>1</v>
      </c>
      <c r="O369" s="12">
        <v>3</v>
      </c>
      <c r="P369" s="12">
        <v>3</v>
      </c>
      <c r="Q369" s="12">
        <v>1</v>
      </c>
      <c r="R369" s="12">
        <v>2</v>
      </c>
      <c r="S369" s="12">
        <v>3</v>
      </c>
      <c r="T369" s="1" t="s">
        <v>599</v>
      </c>
      <c r="U369" s="1" t="s">
        <v>596</v>
      </c>
      <c r="V369">
        <v>20260719</v>
      </c>
      <c r="W369">
        <v>46222.653275462966</v>
      </c>
    </row>
    <row r="370" spans="1:23" ht="30">
      <c r="A370" t="s">
        <v>469</v>
      </c>
      <c r="B370" t="s">
        <v>154</v>
      </c>
      <c r="C370" t="s">
        <v>21</v>
      </c>
      <c r="D370" t="s">
        <v>52</v>
      </c>
      <c r="E370" t="s">
        <v>143</v>
      </c>
      <c r="F370" s="1" t="s">
        <v>155</v>
      </c>
      <c r="G370" s="1" t="s">
        <v>156</v>
      </c>
      <c r="H370" s="1" t="s">
        <v>422</v>
      </c>
      <c r="I370">
        <v>25</v>
      </c>
      <c r="J370">
        <v>0</v>
      </c>
      <c r="K370">
        <v>1</v>
      </c>
      <c r="L370" s="11">
        <v>-0.04</v>
      </c>
      <c r="M370" t="s">
        <v>598</v>
      </c>
      <c r="N370" s="12">
        <v>0</v>
      </c>
      <c r="O370" s="12">
        <v>3</v>
      </c>
      <c r="P370" s="12">
        <v>2</v>
      </c>
      <c r="Q370" s="12">
        <v>1</v>
      </c>
      <c r="R370" s="12">
        <v>3</v>
      </c>
      <c r="S370" s="12">
        <v>3</v>
      </c>
      <c r="T370" s="1" t="s">
        <v>599</v>
      </c>
      <c r="U370" s="1" t="s">
        <v>596</v>
      </c>
      <c r="V370">
        <v>20260719</v>
      </c>
      <c r="W370">
        <v>46222.653275462966</v>
      </c>
    </row>
    <row r="371" spans="1:23" ht="30">
      <c r="A371" t="s">
        <v>470</v>
      </c>
      <c r="B371" t="s">
        <v>160</v>
      </c>
      <c r="C371" t="s">
        <v>21</v>
      </c>
      <c r="D371" t="s">
        <v>52</v>
      </c>
      <c r="E371" t="s">
        <v>143</v>
      </c>
      <c r="F371" s="1" t="s">
        <v>161</v>
      </c>
      <c r="G371" s="1" t="s">
        <v>162</v>
      </c>
      <c r="H371" s="1" t="s">
        <v>424</v>
      </c>
      <c r="I371">
        <v>29</v>
      </c>
      <c r="J371">
        <v>0</v>
      </c>
      <c r="K371">
        <v>1</v>
      </c>
      <c r="L371" s="11">
        <v>-3.4483E-2</v>
      </c>
      <c r="M371" t="s">
        <v>594</v>
      </c>
      <c r="N371" s="12">
        <v>1</v>
      </c>
      <c r="O371" s="12">
        <v>2</v>
      </c>
      <c r="P371" s="12">
        <v>3</v>
      </c>
      <c r="Q371" s="12">
        <v>1</v>
      </c>
      <c r="R371" s="12">
        <v>1</v>
      </c>
      <c r="S371" s="12">
        <v>1</v>
      </c>
      <c r="T371" s="1" t="s">
        <v>599</v>
      </c>
      <c r="U371" s="1" t="s">
        <v>596</v>
      </c>
      <c r="V371">
        <v>20260719</v>
      </c>
      <c r="W371">
        <v>46222.653275462966</v>
      </c>
    </row>
    <row r="372" spans="1:23" ht="30">
      <c r="A372" t="s">
        <v>470</v>
      </c>
      <c r="B372" t="s">
        <v>160</v>
      </c>
      <c r="C372" t="s">
        <v>21</v>
      </c>
      <c r="D372" t="s">
        <v>52</v>
      </c>
      <c r="E372" t="s">
        <v>143</v>
      </c>
      <c r="F372" s="1" t="s">
        <v>161</v>
      </c>
      <c r="G372" s="1" t="s">
        <v>162</v>
      </c>
      <c r="H372" s="1" t="s">
        <v>424</v>
      </c>
      <c r="I372">
        <v>29</v>
      </c>
      <c r="J372">
        <v>0</v>
      </c>
      <c r="K372">
        <v>1</v>
      </c>
      <c r="L372" s="11">
        <v>-3.4483E-2</v>
      </c>
      <c r="M372" t="s">
        <v>597</v>
      </c>
      <c r="N372" s="12">
        <v>1</v>
      </c>
      <c r="O372" s="12">
        <v>2</v>
      </c>
      <c r="P372" s="12">
        <v>3</v>
      </c>
      <c r="Q372" s="12">
        <v>1</v>
      </c>
      <c r="R372" s="12">
        <v>2</v>
      </c>
      <c r="S372" s="12">
        <v>1</v>
      </c>
      <c r="T372" s="1" t="s">
        <v>599</v>
      </c>
      <c r="U372" s="1" t="s">
        <v>596</v>
      </c>
      <c r="V372">
        <v>20260719</v>
      </c>
      <c r="W372">
        <v>46222.653275462966</v>
      </c>
    </row>
    <row r="373" spans="1:23" ht="30">
      <c r="A373" t="s">
        <v>470</v>
      </c>
      <c r="B373" t="s">
        <v>160</v>
      </c>
      <c r="C373" t="s">
        <v>21</v>
      </c>
      <c r="D373" t="s">
        <v>52</v>
      </c>
      <c r="E373" t="s">
        <v>143</v>
      </c>
      <c r="F373" s="1" t="s">
        <v>161</v>
      </c>
      <c r="G373" s="1" t="s">
        <v>162</v>
      </c>
      <c r="H373" s="1" t="s">
        <v>424</v>
      </c>
      <c r="I373">
        <v>29</v>
      </c>
      <c r="J373">
        <v>0</v>
      </c>
      <c r="K373">
        <v>1</v>
      </c>
      <c r="L373" s="11">
        <v>-3.4483E-2</v>
      </c>
      <c r="M373" t="s">
        <v>598</v>
      </c>
      <c r="N373" s="12">
        <v>1</v>
      </c>
      <c r="O373" s="12">
        <v>2</v>
      </c>
      <c r="P373" s="12">
        <v>2</v>
      </c>
      <c r="Q373" s="12">
        <v>1</v>
      </c>
      <c r="R373" s="12">
        <v>1</v>
      </c>
      <c r="S373" s="12">
        <v>1</v>
      </c>
      <c r="T373" s="1" t="s">
        <v>599</v>
      </c>
      <c r="U373" s="1" t="s">
        <v>596</v>
      </c>
      <c r="V373">
        <v>20260719</v>
      </c>
      <c r="W373">
        <v>46222.653275462966</v>
      </c>
    </row>
    <row r="374" spans="1:23" ht="45">
      <c r="A374" t="s">
        <v>471</v>
      </c>
      <c r="B374" t="s">
        <v>165</v>
      </c>
      <c r="C374" t="s">
        <v>21</v>
      </c>
      <c r="D374" t="s">
        <v>52</v>
      </c>
      <c r="E374" t="s">
        <v>166</v>
      </c>
      <c r="F374" s="1" t="s">
        <v>167</v>
      </c>
      <c r="G374" s="1" t="s">
        <v>168</v>
      </c>
      <c r="H374" s="1" t="s">
        <v>426</v>
      </c>
      <c r="I374">
        <v>30</v>
      </c>
      <c r="J374">
        <v>0</v>
      </c>
      <c r="K374">
        <v>1</v>
      </c>
      <c r="L374" s="11">
        <v>-3.3333000000000002E-2</v>
      </c>
      <c r="M374" t="s">
        <v>594</v>
      </c>
      <c r="N374" s="12">
        <v>1</v>
      </c>
      <c r="O374" s="12">
        <v>2</v>
      </c>
      <c r="P374" s="12">
        <v>2</v>
      </c>
      <c r="Q374" s="12">
        <v>2</v>
      </c>
      <c r="R374" s="12">
        <v>2</v>
      </c>
      <c r="S374" s="12">
        <v>3</v>
      </c>
      <c r="T374" s="1" t="s">
        <v>599</v>
      </c>
      <c r="U374" s="1" t="s">
        <v>596</v>
      </c>
      <c r="V374">
        <v>20260719</v>
      </c>
      <c r="W374">
        <v>46222.653275462966</v>
      </c>
    </row>
    <row r="375" spans="1:23" ht="45">
      <c r="A375" t="s">
        <v>471</v>
      </c>
      <c r="B375" t="s">
        <v>165</v>
      </c>
      <c r="C375" t="s">
        <v>21</v>
      </c>
      <c r="D375" t="s">
        <v>52</v>
      </c>
      <c r="E375" t="s">
        <v>166</v>
      </c>
      <c r="F375" s="1" t="s">
        <v>167</v>
      </c>
      <c r="G375" s="1" t="s">
        <v>168</v>
      </c>
      <c r="H375" s="1" t="s">
        <v>426</v>
      </c>
      <c r="I375">
        <v>30</v>
      </c>
      <c r="J375">
        <v>0</v>
      </c>
      <c r="K375">
        <v>1</v>
      </c>
      <c r="L375" s="11">
        <v>-3.3333000000000002E-2</v>
      </c>
      <c r="M375" t="s">
        <v>597</v>
      </c>
      <c r="N375" s="12">
        <v>1</v>
      </c>
      <c r="O375" s="12">
        <v>2</v>
      </c>
      <c r="P375" s="12">
        <v>2</v>
      </c>
      <c r="Q375" s="12">
        <v>2</v>
      </c>
      <c r="R375" s="12">
        <v>3</v>
      </c>
      <c r="S375" s="12">
        <v>3</v>
      </c>
      <c r="T375" s="1" t="s">
        <v>599</v>
      </c>
      <c r="U375" s="1" t="s">
        <v>596</v>
      </c>
      <c r="V375">
        <v>20260719</v>
      </c>
      <c r="W375">
        <v>46222.653275462966</v>
      </c>
    </row>
    <row r="376" spans="1:23" ht="45">
      <c r="A376" t="s">
        <v>471</v>
      </c>
      <c r="B376" t="s">
        <v>165</v>
      </c>
      <c r="C376" t="s">
        <v>21</v>
      </c>
      <c r="D376" t="s">
        <v>52</v>
      </c>
      <c r="E376" t="s">
        <v>166</v>
      </c>
      <c r="F376" s="1" t="s">
        <v>167</v>
      </c>
      <c r="G376" s="1" t="s">
        <v>168</v>
      </c>
      <c r="H376" s="1" t="s">
        <v>426</v>
      </c>
      <c r="I376">
        <v>30</v>
      </c>
      <c r="J376">
        <v>0</v>
      </c>
      <c r="K376">
        <v>1</v>
      </c>
      <c r="L376" s="11">
        <v>-3.3333000000000002E-2</v>
      </c>
      <c r="M376" t="s">
        <v>598</v>
      </c>
      <c r="N376" s="12">
        <v>1</v>
      </c>
      <c r="O376" s="12">
        <v>2</v>
      </c>
      <c r="P376" s="12">
        <v>3</v>
      </c>
      <c r="Q376" s="12">
        <v>2</v>
      </c>
      <c r="R376" s="12">
        <v>3</v>
      </c>
      <c r="S376" s="12">
        <v>3</v>
      </c>
      <c r="T376" s="1" t="s">
        <v>599</v>
      </c>
      <c r="U376" s="1" t="s">
        <v>596</v>
      </c>
      <c r="V376">
        <v>20260719</v>
      </c>
      <c r="W376">
        <v>46222.653275462966</v>
      </c>
    </row>
    <row r="377" spans="1:23" ht="45">
      <c r="A377" t="s">
        <v>472</v>
      </c>
      <c r="B377" t="s">
        <v>171</v>
      </c>
      <c r="C377" t="s">
        <v>21</v>
      </c>
      <c r="D377" t="s">
        <v>52</v>
      </c>
      <c r="E377" t="s">
        <v>166</v>
      </c>
      <c r="F377" s="1" t="s">
        <v>172</v>
      </c>
      <c r="G377" s="1" t="s">
        <v>173</v>
      </c>
      <c r="H377" s="1" t="s">
        <v>428</v>
      </c>
      <c r="I377">
        <v>29</v>
      </c>
      <c r="J377">
        <v>0</v>
      </c>
      <c r="K377">
        <v>1</v>
      </c>
      <c r="L377" s="11">
        <v>-3.4483E-2</v>
      </c>
      <c r="M377" t="s">
        <v>594</v>
      </c>
      <c r="N377" s="12">
        <v>1</v>
      </c>
      <c r="O377" s="12">
        <v>3</v>
      </c>
      <c r="P377" s="12">
        <v>3</v>
      </c>
      <c r="Q377" s="12">
        <v>1</v>
      </c>
      <c r="R377" s="12">
        <v>2</v>
      </c>
      <c r="S377" s="12">
        <v>3</v>
      </c>
      <c r="T377" s="1" t="s">
        <v>599</v>
      </c>
      <c r="U377" s="1" t="s">
        <v>596</v>
      </c>
      <c r="V377">
        <v>20260719</v>
      </c>
      <c r="W377">
        <v>46222.653275462966</v>
      </c>
    </row>
    <row r="378" spans="1:23" ht="45">
      <c r="A378" t="s">
        <v>472</v>
      </c>
      <c r="B378" t="s">
        <v>171</v>
      </c>
      <c r="C378" t="s">
        <v>21</v>
      </c>
      <c r="D378" t="s">
        <v>52</v>
      </c>
      <c r="E378" t="s">
        <v>166</v>
      </c>
      <c r="F378" s="1" t="s">
        <v>172</v>
      </c>
      <c r="G378" s="1" t="s">
        <v>173</v>
      </c>
      <c r="H378" s="1" t="s">
        <v>428</v>
      </c>
      <c r="I378">
        <v>29</v>
      </c>
      <c r="J378">
        <v>0</v>
      </c>
      <c r="K378">
        <v>1</v>
      </c>
      <c r="L378" s="11">
        <v>-3.4483E-2</v>
      </c>
      <c r="M378" t="s">
        <v>597</v>
      </c>
      <c r="N378" s="12">
        <v>1</v>
      </c>
      <c r="O378" s="12">
        <v>3</v>
      </c>
      <c r="P378" s="12">
        <v>3</v>
      </c>
      <c r="Q378" s="12">
        <v>1</v>
      </c>
      <c r="R378" s="12">
        <v>3</v>
      </c>
      <c r="S378" s="12">
        <v>3</v>
      </c>
      <c r="T378" s="1" t="s">
        <v>599</v>
      </c>
      <c r="U378" s="1" t="s">
        <v>596</v>
      </c>
      <c r="V378">
        <v>20260719</v>
      </c>
      <c r="W378">
        <v>46222.653275462966</v>
      </c>
    </row>
    <row r="379" spans="1:23" ht="45">
      <c r="A379" t="s">
        <v>472</v>
      </c>
      <c r="B379" t="s">
        <v>171</v>
      </c>
      <c r="C379" t="s">
        <v>21</v>
      </c>
      <c r="D379" t="s">
        <v>52</v>
      </c>
      <c r="E379" t="s">
        <v>166</v>
      </c>
      <c r="F379" s="1" t="s">
        <v>172</v>
      </c>
      <c r="G379" s="1" t="s">
        <v>173</v>
      </c>
      <c r="H379" s="1" t="s">
        <v>428</v>
      </c>
      <c r="I379">
        <v>29</v>
      </c>
      <c r="J379">
        <v>0</v>
      </c>
      <c r="K379">
        <v>1</v>
      </c>
      <c r="L379" s="11">
        <v>-3.4483E-2</v>
      </c>
      <c r="M379" t="s">
        <v>598</v>
      </c>
      <c r="N379" s="12">
        <v>2</v>
      </c>
      <c r="O379" s="12">
        <v>3</v>
      </c>
      <c r="P379" s="12">
        <v>3</v>
      </c>
      <c r="Q379" s="12">
        <v>1</v>
      </c>
      <c r="R379" s="12">
        <v>3</v>
      </c>
      <c r="S379" s="12">
        <v>3</v>
      </c>
      <c r="T379" s="1" t="s">
        <v>599</v>
      </c>
      <c r="U379" s="1" t="s">
        <v>596</v>
      </c>
      <c r="V379">
        <v>20260719</v>
      </c>
      <c r="W379">
        <v>46222.653275462966</v>
      </c>
    </row>
    <row r="380" spans="1:23" ht="45">
      <c r="A380" t="s">
        <v>473</v>
      </c>
      <c r="B380" t="s">
        <v>176</v>
      </c>
      <c r="C380" t="s">
        <v>21</v>
      </c>
      <c r="D380" t="s">
        <v>52</v>
      </c>
      <c r="E380" t="s">
        <v>166</v>
      </c>
      <c r="F380" s="1" t="s">
        <v>177</v>
      </c>
      <c r="G380" s="1" t="s">
        <v>178</v>
      </c>
      <c r="H380" s="1" t="s">
        <v>474</v>
      </c>
      <c r="I380">
        <v>29</v>
      </c>
      <c r="J380">
        <v>1</v>
      </c>
      <c r="K380">
        <v>0</v>
      </c>
      <c r="L380" s="11">
        <v>3.4483E-2</v>
      </c>
      <c r="M380" t="s">
        <v>594</v>
      </c>
      <c r="N380" s="12">
        <v>3</v>
      </c>
      <c r="O380" s="12">
        <v>2</v>
      </c>
      <c r="P380" s="12">
        <v>3</v>
      </c>
      <c r="Q380" s="12">
        <v>3</v>
      </c>
      <c r="R380" s="12">
        <v>2</v>
      </c>
      <c r="S380" s="12">
        <v>2</v>
      </c>
      <c r="T380" s="1" t="s">
        <v>602</v>
      </c>
      <c r="U380" s="1" t="s">
        <v>596</v>
      </c>
      <c r="V380">
        <v>20260719</v>
      </c>
      <c r="W380">
        <v>46222.653275462966</v>
      </c>
    </row>
    <row r="381" spans="1:23" ht="45">
      <c r="A381" t="s">
        <v>473</v>
      </c>
      <c r="B381" t="s">
        <v>176</v>
      </c>
      <c r="C381" t="s">
        <v>21</v>
      </c>
      <c r="D381" t="s">
        <v>52</v>
      </c>
      <c r="E381" t="s">
        <v>166</v>
      </c>
      <c r="F381" s="1" t="s">
        <v>177</v>
      </c>
      <c r="G381" s="1" t="s">
        <v>178</v>
      </c>
      <c r="H381" s="1" t="s">
        <v>474</v>
      </c>
      <c r="I381">
        <v>29</v>
      </c>
      <c r="J381">
        <v>1</v>
      </c>
      <c r="K381">
        <v>0</v>
      </c>
      <c r="L381" s="11">
        <v>3.4483E-2</v>
      </c>
      <c r="M381" t="s">
        <v>597</v>
      </c>
      <c r="N381" s="12">
        <v>2</v>
      </c>
      <c r="O381" s="12">
        <v>3</v>
      </c>
      <c r="P381" s="12">
        <v>3</v>
      </c>
      <c r="Q381" s="12">
        <v>3</v>
      </c>
      <c r="R381" s="12">
        <v>3</v>
      </c>
      <c r="S381" s="12">
        <v>2</v>
      </c>
      <c r="T381" s="1" t="s">
        <v>602</v>
      </c>
      <c r="U381" s="1" t="s">
        <v>596</v>
      </c>
      <c r="V381">
        <v>20260719</v>
      </c>
      <c r="W381">
        <v>46222.653275462966</v>
      </c>
    </row>
    <row r="382" spans="1:23" ht="45">
      <c r="A382" t="s">
        <v>473</v>
      </c>
      <c r="B382" t="s">
        <v>176</v>
      </c>
      <c r="C382" t="s">
        <v>21</v>
      </c>
      <c r="D382" t="s">
        <v>52</v>
      </c>
      <c r="E382" t="s">
        <v>166</v>
      </c>
      <c r="F382" s="1" t="s">
        <v>177</v>
      </c>
      <c r="G382" s="1" t="s">
        <v>178</v>
      </c>
      <c r="H382" s="1" t="s">
        <v>474</v>
      </c>
      <c r="I382">
        <v>29</v>
      </c>
      <c r="J382">
        <v>1</v>
      </c>
      <c r="K382">
        <v>0</v>
      </c>
      <c r="L382" s="11">
        <v>3.4483E-2</v>
      </c>
      <c r="M382" t="s">
        <v>598</v>
      </c>
      <c r="N382" s="12">
        <v>3</v>
      </c>
      <c r="O382" s="12">
        <v>2</v>
      </c>
      <c r="P382" s="12">
        <v>3</v>
      </c>
      <c r="Q382" s="12">
        <v>2</v>
      </c>
      <c r="R382" s="12">
        <v>2</v>
      </c>
      <c r="S382" s="12">
        <v>2</v>
      </c>
      <c r="T382" s="1" t="s">
        <v>602</v>
      </c>
      <c r="U382" s="1" t="s">
        <v>596</v>
      </c>
      <c r="V382">
        <v>20260719</v>
      </c>
      <c r="W382">
        <v>46222.653275462966</v>
      </c>
    </row>
    <row r="383" spans="1:23" ht="45">
      <c r="A383" t="s">
        <v>476</v>
      </c>
      <c r="B383" t="s">
        <v>181</v>
      </c>
      <c r="C383" t="s">
        <v>21</v>
      </c>
      <c r="D383" t="s">
        <v>52</v>
      </c>
      <c r="E383" t="s">
        <v>166</v>
      </c>
      <c r="F383" s="1" t="s">
        <v>182</v>
      </c>
      <c r="G383" s="1" t="s">
        <v>183</v>
      </c>
      <c r="H383" s="1" t="s">
        <v>477</v>
      </c>
      <c r="I383">
        <v>28</v>
      </c>
      <c r="J383">
        <v>1</v>
      </c>
      <c r="K383">
        <v>0</v>
      </c>
      <c r="L383" s="11">
        <v>3.5714000000000003E-2</v>
      </c>
      <c r="M383" t="s">
        <v>594</v>
      </c>
      <c r="N383" s="12">
        <v>1</v>
      </c>
      <c r="O383" s="12">
        <v>2</v>
      </c>
      <c r="P383" s="12">
        <v>3</v>
      </c>
      <c r="Q383" s="12">
        <v>1</v>
      </c>
      <c r="R383" s="12">
        <v>2</v>
      </c>
      <c r="S383" s="12">
        <v>3</v>
      </c>
      <c r="T383" s="1" t="s">
        <v>602</v>
      </c>
      <c r="U383" s="1" t="s">
        <v>596</v>
      </c>
      <c r="V383">
        <v>20260719</v>
      </c>
      <c r="W383">
        <v>46222.653275462966</v>
      </c>
    </row>
    <row r="384" spans="1:23" ht="45">
      <c r="A384" t="s">
        <v>476</v>
      </c>
      <c r="B384" t="s">
        <v>181</v>
      </c>
      <c r="C384" t="s">
        <v>21</v>
      </c>
      <c r="D384" t="s">
        <v>52</v>
      </c>
      <c r="E384" t="s">
        <v>166</v>
      </c>
      <c r="F384" s="1" t="s">
        <v>182</v>
      </c>
      <c r="G384" s="1" t="s">
        <v>183</v>
      </c>
      <c r="H384" s="1" t="s">
        <v>477</v>
      </c>
      <c r="I384">
        <v>28</v>
      </c>
      <c r="J384">
        <v>1</v>
      </c>
      <c r="K384">
        <v>0</v>
      </c>
      <c r="L384" s="11">
        <v>3.5714000000000003E-2</v>
      </c>
      <c r="M384" t="s">
        <v>597</v>
      </c>
      <c r="N384" s="12">
        <v>1</v>
      </c>
      <c r="O384" s="12">
        <v>2</v>
      </c>
      <c r="P384" s="12">
        <v>3</v>
      </c>
      <c r="Q384" s="12">
        <v>1</v>
      </c>
      <c r="R384" s="12">
        <v>2</v>
      </c>
      <c r="S384" s="12">
        <v>3</v>
      </c>
      <c r="T384" s="1" t="s">
        <v>602</v>
      </c>
      <c r="U384" s="1" t="s">
        <v>596</v>
      </c>
      <c r="V384">
        <v>20260719</v>
      </c>
      <c r="W384">
        <v>46222.653275462966</v>
      </c>
    </row>
    <row r="385" spans="1:23" ht="45">
      <c r="A385" t="s">
        <v>476</v>
      </c>
      <c r="B385" t="s">
        <v>181</v>
      </c>
      <c r="C385" t="s">
        <v>21</v>
      </c>
      <c r="D385" t="s">
        <v>52</v>
      </c>
      <c r="E385" t="s">
        <v>166</v>
      </c>
      <c r="F385" s="1" t="s">
        <v>182</v>
      </c>
      <c r="G385" s="1" t="s">
        <v>183</v>
      </c>
      <c r="H385" s="1" t="s">
        <v>477</v>
      </c>
      <c r="I385">
        <v>28</v>
      </c>
      <c r="J385">
        <v>1</v>
      </c>
      <c r="K385">
        <v>0</v>
      </c>
      <c r="L385" s="11">
        <v>3.5714000000000003E-2</v>
      </c>
      <c r="M385" t="s">
        <v>598</v>
      </c>
      <c r="N385" s="12">
        <v>1</v>
      </c>
      <c r="O385" s="12">
        <v>3</v>
      </c>
      <c r="P385" s="12">
        <v>3</v>
      </c>
      <c r="Q385" s="12">
        <v>2</v>
      </c>
      <c r="R385" s="12">
        <v>2</v>
      </c>
      <c r="S385" s="12">
        <v>3</v>
      </c>
      <c r="T385" s="1" t="s">
        <v>602</v>
      </c>
      <c r="U385" s="1" t="s">
        <v>596</v>
      </c>
      <c r="V385">
        <v>20260719</v>
      </c>
      <c r="W385">
        <v>46222.653275462966</v>
      </c>
    </row>
    <row r="386" spans="1:23" ht="30">
      <c r="A386" t="s">
        <v>478</v>
      </c>
      <c r="B386" t="s">
        <v>186</v>
      </c>
      <c r="C386" t="s">
        <v>21</v>
      </c>
      <c r="D386" t="s">
        <v>52</v>
      </c>
      <c r="E386" t="s">
        <v>187</v>
      </c>
      <c r="F386" s="1" t="s">
        <v>188</v>
      </c>
      <c r="G386" s="1" t="s">
        <v>189</v>
      </c>
      <c r="H386" s="1" t="s">
        <v>479</v>
      </c>
      <c r="I386">
        <v>31</v>
      </c>
      <c r="J386">
        <v>1</v>
      </c>
      <c r="K386">
        <v>1</v>
      </c>
      <c r="L386" s="11">
        <v>0</v>
      </c>
      <c r="M386" t="s">
        <v>594</v>
      </c>
      <c r="N386" s="12">
        <v>1</v>
      </c>
      <c r="O386" s="12">
        <v>1</v>
      </c>
      <c r="P386" s="12">
        <v>1</v>
      </c>
      <c r="Q386" s="12">
        <v>1</v>
      </c>
      <c r="R386" s="12">
        <v>1</v>
      </c>
      <c r="S386" s="12">
        <v>2</v>
      </c>
      <c r="T386" s="1" t="s">
        <v>600</v>
      </c>
      <c r="U386" s="1" t="s">
        <v>596</v>
      </c>
      <c r="V386">
        <v>20260719</v>
      </c>
      <c r="W386">
        <v>46222.653275462966</v>
      </c>
    </row>
    <row r="387" spans="1:23" ht="30">
      <c r="A387" t="s">
        <v>478</v>
      </c>
      <c r="B387" t="s">
        <v>186</v>
      </c>
      <c r="C387" t="s">
        <v>21</v>
      </c>
      <c r="D387" t="s">
        <v>52</v>
      </c>
      <c r="E387" t="s">
        <v>187</v>
      </c>
      <c r="F387" s="1" t="s">
        <v>188</v>
      </c>
      <c r="G387" s="1" t="s">
        <v>189</v>
      </c>
      <c r="H387" s="1" t="s">
        <v>479</v>
      </c>
      <c r="I387">
        <v>31</v>
      </c>
      <c r="J387">
        <v>1</v>
      </c>
      <c r="K387">
        <v>1</v>
      </c>
      <c r="L387" s="11">
        <v>0</v>
      </c>
      <c r="M387" t="s">
        <v>597</v>
      </c>
      <c r="N387" s="12">
        <v>1</v>
      </c>
      <c r="O387" s="12">
        <v>1</v>
      </c>
      <c r="P387" s="12">
        <v>1</v>
      </c>
      <c r="Q387" s="12">
        <v>1</v>
      </c>
      <c r="R387" s="12">
        <v>2</v>
      </c>
      <c r="S387" s="12">
        <v>2</v>
      </c>
      <c r="T387" s="1" t="s">
        <v>600</v>
      </c>
      <c r="U387" s="1" t="s">
        <v>596</v>
      </c>
      <c r="V387">
        <v>20260719</v>
      </c>
      <c r="W387">
        <v>46222.653275462966</v>
      </c>
    </row>
    <row r="388" spans="1:23" ht="30">
      <c r="A388" t="s">
        <v>478</v>
      </c>
      <c r="B388" t="s">
        <v>186</v>
      </c>
      <c r="C388" t="s">
        <v>21</v>
      </c>
      <c r="D388" t="s">
        <v>52</v>
      </c>
      <c r="E388" t="s">
        <v>187</v>
      </c>
      <c r="F388" s="1" t="s">
        <v>188</v>
      </c>
      <c r="G388" s="1" t="s">
        <v>189</v>
      </c>
      <c r="H388" s="1" t="s">
        <v>479</v>
      </c>
      <c r="I388">
        <v>31</v>
      </c>
      <c r="J388">
        <v>1</v>
      </c>
      <c r="K388">
        <v>1</v>
      </c>
      <c r="L388" s="11">
        <v>0</v>
      </c>
      <c r="M388" t="s">
        <v>598</v>
      </c>
      <c r="N388" s="12">
        <v>0</v>
      </c>
      <c r="O388" s="12">
        <v>1</v>
      </c>
      <c r="P388" s="12">
        <v>0</v>
      </c>
      <c r="Q388" s="12">
        <v>1</v>
      </c>
      <c r="R388" s="12">
        <v>2</v>
      </c>
      <c r="S388" s="12">
        <v>3</v>
      </c>
      <c r="T388" s="1" t="s">
        <v>600</v>
      </c>
      <c r="U388" s="1" t="s">
        <v>596</v>
      </c>
      <c r="V388">
        <v>20260719</v>
      </c>
      <c r="W388">
        <v>46222.653275462966</v>
      </c>
    </row>
    <row r="389" spans="1:23" ht="30">
      <c r="A389" t="s">
        <v>480</v>
      </c>
      <c r="B389" t="s">
        <v>192</v>
      </c>
      <c r="C389" t="s">
        <v>21</v>
      </c>
      <c r="D389" t="s">
        <v>52</v>
      </c>
      <c r="E389" t="s">
        <v>187</v>
      </c>
      <c r="F389" s="1" t="s">
        <v>193</v>
      </c>
      <c r="G389" s="1" t="s">
        <v>194</v>
      </c>
      <c r="H389" s="1" t="s">
        <v>481</v>
      </c>
      <c r="I389">
        <v>23</v>
      </c>
      <c r="J389">
        <v>1</v>
      </c>
      <c r="K389">
        <v>1</v>
      </c>
      <c r="L389" s="11">
        <v>0</v>
      </c>
      <c r="M389" t="s">
        <v>594</v>
      </c>
      <c r="N389" s="12">
        <v>1</v>
      </c>
      <c r="O389" s="12">
        <v>1</v>
      </c>
      <c r="P389" s="12">
        <v>1</v>
      </c>
      <c r="Q389" s="12">
        <v>1</v>
      </c>
      <c r="R389" s="12">
        <v>2</v>
      </c>
      <c r="S389" s="12">
        <v>3</v>
      </c>
      <c r="T389" s="1" t="s">
        <v>600</v>
      </c>
      <c r="U389" s="1" t="s">
        <v>596</v>
      </c>
      <c r="V389">
        <v>20260719</v>
      </c>
      <c r="W389">
        <v>46222.653275462966</v>
      </c>
    </row>
    <row r="390" spans="1:23" ht="30">
      <c r="A390" t="s">
        <v>480</v>
      </c>
      <c r="B390" t="s">
        <v>192</v>
      </c>
      <c r="C390" t="s">
        <v>21</v>
      </c>
      <c r="D390" t="s">
        <v>52</v>
      </c>
      <c r="E390" t="s">
        <v>187</v>
      </c>
      <c r="F390" s="1" t="s">
        <v>193</v>
      </c>
      <c r="G390" s="1" t="s">
        <v>194</v>
      </c>
      <c r="H390" s="1" t="s">
        <v>481</v>
      </c>
      <c r="I390">
        <v>23</v>
      </c>
      <c r="J390">
        <v>1</v>
      </c>
      <c r="K390">
        <v>1</v>
      </c>
      <c r="L390" s="11">
        <v>0</v>
      </c>
      <c r="M390" t="s">
        <v>597</v>
      </c>
      <c r="N390" s="12">
        <v>2</v>
      </c>
      <c r="O390" s="12">
        <v>1</v>
      </c>
      <c r="P390" s="12">
        <v>0</v>
      </c>
      <c r="Q390" s="12">
        <v>1</v>
      </c>
      <c r="R390" s="12">
        <v>2</v>
      </c>
      <c r="S390" s="12">
        <v>2</v>
      </c>
      <c r="T390" s="1" t="s">
        <v>600</v>
      </c>
      <c r="U390" s="1" t="s">
        <v>596</v>
      </c>
      <c r="V390">
        <v>20260719</v>
      </c>
      <c r="W390">
        <v>46222.653275462966</v>
      </c>
    </row>
    <row r="391" spans="1:23" ht="30">
      <c r="A391" t="s">
        <v>480</v>
      </c>
      <c r="B391" t="s">
        <v>192</v>
      </c>
      <c r="C391" t="s">
        <v>21</v>
      </c>
      <c r="D391" t="s">
        <v>52</v>
      </c>
      <c r="E391" t="s">
        <v>187</v>
      </c>
      <c r="F391" s="1" t="s">
        <v>193</v>
      </c>
      <c r="G391" s="1" t="s">
        <v>194</v>
      </c>
      <c r="H391" s="1" t="s">
        <v>481</v>
      </c>
      <c r="I391">
        <v>23</v>
      </c>
      <c r="J391">
        <v>1</v>
      </c>
      <c r="K391">
        <v>1</v>
      </c>
      <c r="L391" s="11">
        <v>0</v>
      </c>
      <c r="M391" t="s">
        <v>598</v>
      </c>
      <c r="N391" s="12">
        <v>2</v>
      </c>
      <c r="O391" s="12">
        <v>1</v>
      </c>
      <c r="P391" s="12">
        <v>0</v>
      </c>
      <c r="Q391" s="12">
        <v>1</v>
      </c>
      <c r="R391" s="12">
        <v>3</v>
      </c>
      <c r="S391" s="12">
        <v>3</v>
      </c>
      <c r="T391" s="1" t="s">
        <v>600</v>
      </c>
      <c r="U391" s="1" t="s">
        <v>596</v>
      </c>
      <c r="V391">
        <v>20260719</v>
      </c>
      <c r="W391">
        <v>46222.653275462966</v>
      </c>
    </row>
    <row r="392" spans="1:23" ht="30">
      <c r="A392" t="s">
        <v>482</v>
      </c>
      <c r="B392" t="s">
        <v>197</v>
      </c>
      <c r="C392" t="s">
        <v>21</v>
      </c>
      <c r="D392" t="s">
        <v>52</v>
      </c>
      <c r="E392" t="s">
        <v>187</v>
      </c>
      <c r="F392" s="1" t="s">
        <v>198</v>
      </c>
      <c r="G392" s="1" t="s">
        <v>199</v>
      </c>
      <c r="H392" s="1" t="s">
        <v>483</v>
      </c>
      <c r="I392">
        <v>27</v>
      </c>
      <c r="J392">
        <v>1</v>
      </c>
      <c r="K392">
        <v>1</v>
      </c>
      <c r="L392" s="11">
        <v>0</v>
      </c>
      <c r="M392" t="s">
        <v>594</v>
      </c>
      <c r="N392" s="12">
        <v>1</v>
      </c>
      <c r="O392" s="12">
        <v>1</v>
      </c>
      <c r="P392" s="12">
        <v>0</v>
      </c>
      <c r="Q392" s="12">
        <v>1</v>
      </c>
      <c r="R392" s="12">
        <v>2</v>
      </c>
      <c r="S392" s="12">
        <v>2</v>
      </c>
      <c r="T392" s="1" t="s">
        <v>600</v>
      </c>
      <c r="U392" s="1" t="s">
        <v>596</v>
      </c>
      <c r="V392">
        <v>20260719</v>
      </c>
      <c r="W392">
        <v>46222.653275462966</v>
      </c>
    </row>
    <row r="393" spans="1:23" ht="30">
      <c r="A393" t="s">
        <v>482</v>
      </c>
      <c r="B393" t="s">
        <v>197</v>
      </c>
      <c r="C393" t="s">
        <v>21</v>
      </c>
      <c r="D393" t="s">
        <v>52</v>
      </c>
      <c r="E393" t="s">
        <v>187</v>
      </c>
      <c r="F393" s="1" t="s">
        <v>198</v>
      </c>
      <c r="G393" s="1" t="s">
        <v>199</v>
      </c>
      <c r="H393" s="1" t="s">
        <v>483</v>
      </c>
      <c r="I393">
        <v>27</v>
      </c>
      <c r="J393">
        <v>1</v>
      </c>
      <c r="K393">
        <v>1</v>
      </c>
      <c r="L393" s="11">
        <v>0</v>
      </c>
      <c r="M393" t="s">
        <v>597</v>
      </c>
      <c r="N393" s="12">
        <v>1</v>
      </c>
      <c r="O393" s="12">
        <v>1</v>
      </c>
      <c r="P393" s="12">
        <v>1</v>
      </c>
      <c r="Q393" s="12">
        <v>1</v>
      </c>
      <c r="R393" s="12">
        <v>2</v>
      </c>
      <c r="S393" s="12">
        <v>2</v>
      </c>
      <c r="T393" s="1" t="s">
        <v>600</v>
      </c>
      <c r="U393" s="1" t="s">
        <v>596</v>
      </c>
      <c r="V393">
        <v>20260719</v>
      </c>
      <c r="W393">
        <v>46222.653275462966</v>
      </c>
    </row>
    <row r="394" spans="1:23" ht="30">
      <c r="A394" t="s">
        <v>482</v>
      </c>
      <c r="B394" t="s">
        <v>197</v>
      </c>
      <c r="C394" t="s">
        <v>21</v>
      </c>
      <c r="D394" t="s">
        <v>52</v>
      </c>
      <c r="E394" t="s">
        <v>187</v>
      </c>
      <c r="F394" s="1" t="s">
        <v>198</v>
      </c>
      <c r="G394" s="1" t="s">
        <v>199</v>
      </c>
      <c r="H394" s="1" t="s">
        <v>483</v>
      </c>
      <c r="I394">
        <v>27</v>
      </c>
      <c r="J394">
        <v>1</v>
      </c>
      <c r="K394">
        <v>1</v>
      </c>
      <c r="L394" s="11">
        <v>0</v>
      </c>
      <c r="M394" t="s">
        <v>598</v>
      </c>
      <c r="N394" s="12">
        <v>1</v>
      </c>
      <c r="O394" s="12">
        <v>1</v>
      </c>
      <c r="P394" s="12">
        <v>1</v>
      </c>
      <c r="Q394" s="12">
        <v>1</v>
      </c>
      <c r="R394" s="12">
        <v>3</v>
      </c>
      <c r="S394" s="12">
        <v>2</v>
      </c>
      <c r="T394" s="1" t="s">
        <v>600</v>
      </c>
      <c r="U394" s="1" t="s">
        <v>596</v>
      </c>
      <c r="V394">
        <v>20260719</v>
      </c>
      <c r="W394">
        <v>46222.653275462966</v>
      </c>
    </row>
    <row r="395" spans="1:23" ht="30">
      <c r="A395" t="s">
        <v>484</v>
      </c>
      <c r="B395" t="s">
        <v>202</v>
      </c>
      <c r="C395" t="s">
        <v>21</v>
      </c>
      <c r="D395" t="s">
        <v>52</v>
      </c>
      <c r="E395" t="s">
        <v>187</v>
      </c>
      <c r="F395" s="1" t="s">
        <v>203</v>
      </c>
      <c r="G395" s="1" t="s">
        <v>204</v>
      </c>
      <c r="H395" s="1" t="s">
        <v>485</v>
      </c>
      <c r="I395">
        <v>27</v>
      </c>
      <c r="J395">
        <v>1</v>
      </c>
      <c r="K395">
        <v>1</v>
      </c>
      <c r="L395" s="11">
        <v>0</v>
      </c>
      <c r="M395" t="s">
        <v>594</v>
      </c>
      <c r="N395" s="12">
        <v>2</v>
      </c>
      <c r="O395" s="12">
        <v>1</v>
      </c>
      <c r="P395" s="12">
        <v>1</v>
      </c>
      <c r="Q395" s="12">
        <v>3</v>
      </c>
      <c r="R395" s="12">
        <v>2</v>
      </c>
      <c r="S395" s="12">
        <v>2</v>
      </c>
      <c r="T395" s="1" t="s">
        <v>600</v>
      </c>
      <c r="U395" s="1" t="s">
        <v>596</v>
      </c>
      <c r="V395">
        <v>20260719</v>
      </c>
      <c r="W395">
        <v>46222.653275462966</v>
      </c>
    </row>
    <row r="396" spans="1:23" ht="30">
      <c r="A396" t="s">
        <v>484</v>
      </c>
      <c r="B396" t="s">
        <v>202</v>
      </c>
      <c r="C396" t="s">
        <v>21</v>
      </c>
      <c r="D396" t="s">
        <v>52</v>
      </c>
      <c r="E396" t="s">
        <v>187</v>
      </c>
      <c r="F396" s="1" t="s">
        <v>203</v>
      </c>
      <c r="G396" s="1" t="s">
        <v>204</v>
      </c>
      <c r="H396" s="1" t="s">
        <v>485</v>
      </c>
      <c r="I396">
        <v>27</v>
      </c>
      <c r="J396">
        <v>1</v>
      </c>
      <c r="K396">
        <v>1</v>
      </c>
      <c r="L396" s="11">
        <v>0</v>
      </c>
      <c r="M396" t="s">
        <v>597</v>
      </c>
      <c r="N396" s="12">
        <v>2</v>
      </c>
      <c r="O396" s="12">
        <v>1</v>
      </c>
      <c r="P396" s="12">
        <v>1</v>
      </c>
      <c r="Q396" s="12">
        <v>3</v>
      </c>
      <c r="R396" s="12">
        <v>2</v>
      </c>
      <c r="S396" s="12">
        <v>2</v>
      </c>
      <c r="T396" s="1" t="s">
        <v>600</v>
      </c>
      <c r="U396" s="1" t="s">
        <v>596</v>
      </c>
      <c r="V396">
        <v>20260719</v>
      </c>
      <c r="W396">
        <v>46222.653275462966</v>
      </c>
    </row>
    <row r="397" spans="1:23" ht="30">
      <c r="A397" t="s">
        <v>484</v>
      </c>
      <c r="B397" t="s">
        <v>202</v>
      </c>
      <c r="C397" t="s">
        <v>21</v>
      </c>
      <c r="D397" t="s">
        <v>52</v>
      </c>
      <c r="E397" t="s">
        <v>187</v>
      </c>
      <c r="F397" s="1" t="s">
        <v>203</v>
      </c>
      <c r="G397" s="1" t="s">
        <v>204</v>
      </c>
      <c r="H397" s="1" t="s">
        <v>485</v>
      </c>
      <c r="I397">
        <v>27</v>
      </c>
      <c r="J397">
        <v>1</v>
      </c>
      <c r="K397">
        <v>1</v>
      </c>
      <c r="L397" s="11">
        <v>0</v>
      </c>
      <c r="M397" t="s">
        <v>598</v>
      </c>
      <c r="N397" s="12">
        <v>2</v>
      </c>
      <c r="O397" s="12">
        <v>1</v>
      </c>
      <c r="P397" s="12">
        <v>1</v>
      </c>
      <c r="Q397" s="12">
        <v>3</v>
      </c>
      <c r="R397" s="12">
        <v>2</v>
      </c>
      <c r="S397" s="12">
        <v>2</v>
      </c>
      <c r="T397" s="1" t="s">
        <v>600</v>
      </c>
      <c r="U397" s="1" t="s">
        <v>596</v>
      </c>
      <c r="V397">
        <v>20260719</v>
      </c>
      <c r="W397">
        <v>46222.653275462966</v>
      </c>
    </row>
    <row r="398" spans="1:23" ht="45">
      <c r="A398" t="s">
        <v>486</v>
      </c>
      <c r="B398" t="s">
        <v>207</v>
      </c>
      <c r="C398" t="s">
        <v>21</v>
      </c>
      <c r="D398" t="s">
        <v>52</v>
      </c>
      <c r="E398" t="s">
        <v>208</v>
      </c>
      <c r="F398" s="1" t="s">
        <v>209</v>
      </c>
      <c r="G398" s="1" t="s">
        <v>210</v>
      </c>
      <c r="H398" s="1" t="s">
        <v>487</v>
      </c>
      <c r="I398">
        <v>30</v>
      </c>
      <c r="J398">
        <v>0</v>
      </c>
      <c r="K398">
        <v>0</v>
      </c>
      <c r="L398" s="11">
        <v>0</v>
      </c>
      <c r="M398" t="s">
        <v>594</v>
      </c>
      <c r="N398" s="12">
        <v>1</v>
      </c>
      <c r="O398" s="12">
        <v>2</v>
      </c>
      <c r="P398" s="12">
        <v>1</v>
      </c>
      <c r="Q398" s="12">
        <v>1</v>
      </c>
      <c r="R398" s="12">
        <v>2</v>
      </c>
      <c r="S398" s="12">
        <v>1</v>
      </c>
      <c r="T398" s="1" t="s">
        <v>601</v>
      </c>
      <c r="U398" s="1" t="s">
        <v>596</v>
      </c>
      <c r="V398">
        <v>20260719</v>
      </c>
      <c r="W398">
        <v>46222.653275462966</v>
      </c>
    </row>
    <row r="399" spans="1:23" ht="45">
      <c r="A399" t="s">
        <v>486</v>
      </c>
      <c r="B399" t="s">
        <v>207</v>
      </c>
      <c r="C399" t="s">
        <v>21</v>
      </c>
      <c r="D399" t="s">
        <v>52</v>
      </c>
      <c r="E399" t="s">
        <v>208</v>
      </c>
      <c r="F399" s="1" t="s">
        <v>209</v>
      </c>
      <c r="G399" s="1" t="s">
        <v>210</v>
      </c>
      <c r="H399" s="1" t="s">
        <v>487</v>
      </c>
      <c r="I399">
        <v>30</v>
      </c>
      <c r="J399">
        <v>0</v>
      </c>
      <c r="K399">
        <v>0</v>
      </c>
      <c r="L399" s="11">
        <v>0</v>
      </c>
      <c r="M399" t="s">
        <v>597</v>
      </c>
      <c r="N399" s="12">
        <v>1</v>
      </c>
      <c r="O399" s="12">
        <v>2</v>
      </c>
      <c r="P399" s="12">
        <v>2</v>
      </c>
      <c r="Q399" s="12">
        <v>1</v>
      </c>
      <c r="R399" s="12">
        <v>2</v>
      </c>
      <c r="S399" s="12">
        <v>1</v>
      </c>
      <c r="T399" s="1" t="s">
        <v>601</v>
      </c>
      <c r="U399" s="1" t="s">
        <v>596</v>
      </c>
      <c r="V399">
        <v>20260719</v>
      </c>
      <c r="W399">
        <v>46222.653275462966</v>
      </c>
    </row>
    <row r="400" spans="1:23" ht="45">
      <c r="A400" t="s">
        <v>486</v>
      </c>
      <c r="B400" t="s">
        <v>207</v>
      </c>
      <c r="C400" t="s">
        <v>21</v>
      </c>
      <c r="D400" t="s">
        <v>52</v>
      </c>
      <c r="E400" t="s">
        <v>208</v>
      </c>
      <c r="F400" s="1" t="s">
        <v>209</v>
      </c>
      <c r="G400" s="1" t="s">
        <v>210</v>
      </c>
      <c r="H400" s="1" t="s">
        <v>487</v>
      </c>
      <c r="I400">
        <v>30</v>
      </c>
      <c r="J400">
        <v>0</v>
      </c>
      <c r="K400">
        <v>0</v>
      </c>
      <c r="L400" s="11">
        <v>0</v>
      </c>
      <c r="M400" t="s">
        <v>598</v>
      </c>
      <c r="N400" s="12">
        <v>2</v>
      </c>
      <c r="O400" s="12">
        <v>2</v>
      </c>
      <c r="P400" s="12">
        <v>2</v>
      </c>
      <c r="Q400" s="12">
        <v>1</v>
      </c>
      <c r="R400" s="12">
        <v>2</v>
      </c>
      <c r="S400" s="12">
        <v>2</v>
      </c>
      <c r="T400" s="1" t="s">
        <v>601</v>
      </c>
      <c r="U400" s="1" t="s">
        <v>596</v>
      </c>
      <c r="V400">
        <v>20260719</v>
      </c>
      <c r="W400">
        <v>46222.653275462966</v>
      </c>
    </row>
    <row r="401" spans="1:23" ht="30">
      <c r="A401" t="s">
        <v>488</v>
      </c>
      <c r="B401" t="s">
        <v>213</v>
      </c>
      <c r="C401" t="s">
        <v>21</v>
      </c>
      <c r="D401" t="s">
        <v>52</v>
      </c>
      <c r="E401" t="s">
        <v>208</v>
      </c>
      <c r="F401" s="1" t="s">
        <v>214</v>
      </c>
      <c r="G401" s="1" t="s">
        <v>215</v>
      </c>
      <c r="H401" s="1" t="s">
        <v>489</v>
      </c>
      <c r="I401">
        <v>26</v>
      </c>
      <c r="J401">
        <v>0</v>
      </c>
      <c r="K401">
        <v>0</v>
      </c>
      <c r="L401" s="11">
        <v>0</v>
      </c>
      <c r="M401" t="s">
        <v>594</v>
      </c>
      <c r="N401" s="12">
        <v>2</v>
      </c>
      <c r="O401" s="12">
        <v>2</v>
      </c>
      <c r="P401" s="12">
        <v>2</v>
      </c>
      <c r="Q401" s="12">
        <v>2</v>
      </c>
      <c r="R401" s="12">
        <v>1</v>
      </c>
      <c r="S401" s="12">
        <v>2</v>
      </c>
      <c r="T401" s="1" t="s">
        <v>601</v>
      </c>
      <c r="U401" s="1" t="s">
        <v>596</v>
      </c>
      <c r="V401">
        <v>20260719</v>
      </c>
      <c r="W401">
        <v>46222.653275462966</v>
      </c>
    </row>
    <row r="402" spans="1:23" ht="30">
      <c r="A402" t="s">
        <v>488</v>
      </c>
      <c r="B402" t="s">
        <v>213</v>
      </c>
      <c r="C402" t="s">
        <v>21</v>
      </c>
      <c r="D402" t="s">
        <v>52</v>
      </c>
      <c r="E402" t="s">
        <v>208</v>
      </c>
      <c r="F402" s="1" t="s">
        <v>214</v>
      </c>
      <c r="G402" s="1" t="s">
        <v>215</v>
      </c>
      <c r="H402" s="1" t="s">
        <v>489</v>
      </c>
      <c r="I402">
        <v>26</v>
      </c>
      <c r="J402">
        <v>0</v>
      </c>
      <c r="K402">
        <v>0</v>
      </c>
      <c r="L402" s="11">
        <v>0</v>
      </c>
      <c r="M402" t="s">
        <v>597</v>
      </c>
      <c r="N402" s="12">
        <v>2</v>
      </c>
      <c r="O402" s="12">
        <v>2</v>
      </c>
      <c r="P402" s="12">
        <v>2</v>
      </c>
      <c r="Q402" s="12">
        <v>2</v>
      </c>
      <c r="R402" s="12">
        <v>1</v>
      </c>
      <c r="S402" s="12">
        <v>2</v>
      </c>
      <c r="T402" s="1" t="s">
        <v>601</v>
      </c>
      <c r="U402" s="1" t="s">
        <v>596</v>
      </c>
      <c r="V402">
        <v>20260719</v>
      </c>
      <c r="W402">
        <v>46222.653275462966</v>
      </c>
    </row>
    <row r="403" spans="1:23" ht="30">
      <c r="A403" t="s">
        <v>488</v>
      </c>
      <c r="B403" t="s">
        <v>213</v>
      </c>
      <c r="C403" t="s">
        <v>21</v>
      </c>
      <c r="D403" t="s">
        <v>52</v>
      </c>
      <c r="E403" t="s">
        <v>208</v>
      </c>
      <c r="F403" s="1" t="s">
        <v>214</v>
      </c>
      <c r="G403" s="1" t="s">
        <v>215</v>
      </c>
      <c r="H403" s="1" t="s">
        <v>489</v>
      </c>
      <c r="I403">
        <v>26</v>
      </c>
      <c r="J403">
        <v>0</v>
      </c>
      <c r="K403">
        <v>0</v>
      </c>
      <c r="L403" s="11">
        <v>0</v>
      </c>
      <c r="M403" t="s">
        <v>598</v>
      </c>
      <c r="N403" s="12">
        <v>2</v>
      </c>
      <c r="O403" s="12">
        <v>1</v>
      </c>
      <c r="P403" s="12">
        <v>2</v>
      </c>
      <c r="Q403" s="12">
        <v>2</v>
      </c>
      <c r="R403" s="12">
        <v>2</v>
      </c>
      <c r="S403" s="12">
        <v>2</v>
      </c>
      <c r="T403" s="1" t="s">
        <v>601</v>
      </c>
      <c r="U403" s="1" t="s">
        <v>596</v>
      </c>
      <c r="V403">
        <v>20260719</v>
      </c>
      <c r="W403">
        <v>46222.653275462966</v>
      </c>
    </row>
    <row r="404" spans="1:23" ht="30">
      <c r="A404" t="s">
        <v>490</v>
      </c>
      <c r="B404" t="s">
        <v>218</v>
      </c>
      <c r="C404" t="s">
        <v>21</v>
      </c>
      <c r="D404" t="s">
        <v>52</v>
      </c>
      <c r="E404" t="s">
        <v>208</v>
      </c>
      <c r="F404" s="1" t="s">
        <v>219</v>
      </c>
      <c r="G404" s="1" t="s">
        <v>220</v>
      </c>
      <c r="H404" s="1" t="s">
        <v>491</v>
      </c>
      <c r="I404">
        <v>26</v>
      </c>
      <c r="J404">
        <v>0</v>
      </c>
      <c r="K404">
        <v>0</v>
      </c>
      <c r="L404" s="11">
        <v>0</v>
      </c>
      <c r="M404" t="s">
        <v>594</v>
      </c>
      <c r="N404" s="12">
        <v>0</v>
      </c>
      <c r="O404" s="12">
        <v>2</v>
      </c>
      <c r="P404" s="12">
        <v>1</v>
      </c>
      <c r="Q404" s="12">
        <v>1</v>
      </c>
      <c r="R404" s="12">
        <v>2</v>
      </c>
      <c r="S404" s="12">
        <v>2</v>
      </c>
      <c r="T404" s="1" t="s">
        <v>601</v>
      </c>
      <c r="U404" s="1" t="s">
        <v>596</v>
      </c>
      <c r="V404">
        <v>20260719</v>
      </c>
      <c r="W404">
        <v>46222.653275462966</v>
      </c>
    </row>
    <row r="405" spans="1:23" ht="30">
      <c r="A405" t="s">
        <v>490</v>
      </c>
      <c r="B405" t="s">
        <v>218</v>
      </c>
      <c r="C405" t="s">
        <v>21</v>
      </c>
      <c r="D405" t="s">
        <v>52</v>
      </c>
      <c r="E405" t="s">
        <v>208</v>
      </c>
      <c r="F405" s="1" t="s">
        <v>219</v>
      </c>
      <c r="G405" s="1" t="s">
        <v>220</v>
      </c>
      <c r="H405" s="1" t="s">
        <v>491</v>
      </c>
      <c r="I405">
        <v>26</v>
      </c>
      <c r="J405">
        <v>0</v>
      </c>
      <c r="K405">
        <v>0</v>
      </c>
      <c r="L405" s="11">
        <v>0</v>
      </c>
      <c r="M405" t="s">
        <v>597</v>
      </c>
      <c r="N405" s="12">
        <v>1</v>
      </c>
      <c r="O405" s="12">
        <v>2</v>
      </c>
      <c r="P405" s="12">
        <v>2</v>
      </c>
      <c r="Q405" s="12">
        <v>1</v>
      </c>
      <c r="R405" s="12">
        <v>2</v>
      </c>
      <c r="S405" s="12">
        <v>2</v>
      </c>
      <c r="T405" s="1" t="s">
        <v>601</v>
      </c>
      <c r="U405" s="1" t="s">
        <v>596</v>
      </c>
      <c r="V405">
        <v>20260719</v>
      </c>
      <c r="W405">
        <v>46222.653275462966</v>
      </c>
    </row>
    <row r="406" spans="1:23" ht="30">
      <c r="A406" t="s">
        <v>490</v>
      </c>
      <c r="B406" t="s">
        <v>218</v>
      </c>
      <c r="C406" t="s">
        <v>21</v>
      </c>
      <c r="D406" t="s">
        <v>52</v>
      </c>
      <c r="E406" t="s">
        <v>208</v>
      </c>
      <c r="F406" s="1" t="s">
        <v>219</v>
      </c>
      <c r="G406" s="1" t="s">
        <v>220</v>
      </c>
      <c r="H406" s="1" t="s">
        <v>491</v>
      </c>
      <c r="I406">
        <v>26</v>
      </c>
      <c r="J406">
        <v>0</v>
      </c>
      <c r="K406">
        <v>0</v>
      </c>
      <c r="L406" s="11">
        <v>0</v>
      </c>
      <c r="M406" t="s">
        <v>598</v>
      </c>
      <c r="N406" s="12">
        <v>1</v>
      </c>
      <c r="O406" s="12">
        <v>2</v>
      </c>
      <c r="P406" s="12">
        <v>2</v>
      </c>
      <c r="Q406" s="12">
        <v>2</v>
      </c>
      <c r="R406" s="12">
        <v>2</v>
      </c>
      <c r="S406" s="12">
        <v>2</v>
      </c>
      <c r="T406" s="1" t="s">
        <v>601</v>
      </c>
      <c r="U406" s="1" t="s">
        <v>596</v>
      </c>
      <c r="V406">
        <v>20260719</v>
      </c>
      <c r="W406">
        <v>46222.653275462966</v>
      </c>
    </row>
    <row r="407" spans="1:23" ht="30">
      <c r="A407" t="s">
        <v>492</v>
      </c>
      <c r="B407" t="s">
        <v>223</v>
      </c>
      <c r="C407" t="s">
        <v>21</v>
      </c>
      <c r="D407" t="s">
        <v>52</v>
      </c>
      <c r="E407" t="s">
        <v>208</v>
      </c>
      <c r="F407" s="1" t="s">
        <v>224</v>
      </c>
      <c r="G407" s="1" t="s">
        <v>225</v>
      </c>
      <c r="H407" s="1" t="s">
        <v>493</v>
      </c>
      <c r="I407">
        <v>30</v>
      </c>
      <c r="J407">
        <v>0</v>
      </c>
      <c r="K407">
        <v>0</v>
      </c>
      <c r="L407" s="11">
        <v>0</v>
      </c>
      <c r="M407" t="s">
        <v>594</v>
      </c>
      <c r="N407" s="12">
        <v>2</v>
      </c>
      <c r="O407" s="12">
        <v>2</v>
      </c>
      <c r="P407" s="12">
        <v>3</v>
      </c>
      <c r="Q407" s="12">
        <v>2</v>
      </c>
      <c r="R407" s="12">
        <v>2</v>
      </c>
      <c r="S407" s="12">
        <v>2</v>
      </c>
      <c r="T407" s="1" t="s">
        <v>601</v>
      </c>
      <c r="U407" s="1" t="s">
        <v>596</v>
      </c>
      <c r="V407">
        <v>20260719</v>
      </c>
      <c r="W407">
        <v>46222.653275462966</v>
      </c>
    </row>
    <row r="408" spans="1:23" ht="30">
      <c r="A408" t="s">
        <v>492</v>
      </c>
      <c r="B408" t="s">
        <v>223</v>
      </c>
      <c r="C408" t="s">
        <v>21</v>
      </c>
      <c r="D408" t="s">
        <v>52</v>
      </c>
      <c r="E408" t="s">
        <v>208</v>
      </c>
      <c r="F408" s="1" t="s">
        <v>224</v>
      </c>
      <c r="G408" s="1" t="s">
        <v>225</v>
      </c>
      <c r="H408" s="1" t="s">
        <v>493</v>
      </c>
      <c r="I408">
        <v>30</v>
      </c>
      <c r="J408">
        <v>0</v>
      </c>
      <c r="K408">
        <v>0</v>
      </c>
      <c r="L408" s="11">
        <v>0</v>
      </c>
      <c r="M408" t="s">
        <v>597</v>
      </c>
      <c r="N408" s="12">
        <v>1</v>
      </c>
      <c r="O408" s="12">
        <v>3</v>
      </c>
      <c r="P408" s="12">
        <v>3</v>
      </c>
      <c r="Q408" s="12">
        <v>2</v>
      </c>
      <c r="R408" s="12">
        <v>2</v>
      </c>
      <c r="S408" s="12">
        <v>2</v>
      </c>
      <c r="T408" s="1" t="s">
        <v>601</v>
      </c>
      <c r="U408" s="1" t="s">
        <v>596</v>
      </c>
      <c r="V408">
        <v>20260719</v>
      </c>
      <c r="W408">
        <v>46222.653275462966</v>
      </c>
    </row>
    <row r="409" spans="1:23" ht="30">
      <c r="A409" t="s">
        <v>492</v>
      </c>
      <c r="B409" t="s">
        <v>223</v>
      </c>
      <c r="C409" t="s">
        <v>21</v>
      </c>
      <c r="D409" t="s">
        <v>52</v>
      </c>
      <c r="E409" t="s">
        <v>208</v>
      </c>
      <c r="F409" s="1" t="s">
        <v>224</v>
      </c>
      <c r="G409" s="1" t="s">
        <v>225</v>
      </c>
      <c r="H409" s="1" t="s">
        <v>493</v>
      </c>
      <c r="I409">
        <v>30</v>
      </c>
      <c r="J409">
        <v>0</v>
      </c>
      <c r="K409">
        <v>0</v>
      </c>
      <c r="L409" s="11">
        <v>0</v>
      </c>
      <c r="M409" t="s">
        <v>598</v>
      </c>
      <c r="N409" s="12">
        <v>1</v>
      </c>
      <c r="O409" s="12">
        <v>3</v>
      </c>
      <c r="P409" s="12">
        <v>2</v>
      </c>
      <c r="Q409" s="12">
        <v>2</v>
      </c>
      <c r="R409" s="12">
        <v>2</v>
      </c>
      <c r="S409" s="12">
        <v>2</v>
      </c>
      <c r="T409" s="1" t="s">
        <v>601</v>
      </c>
      <c r="U409" s="1" t="s">
        <v>596</v>
      </c>
      <c r="V409">
        <v>20260719</v>
      </c>
      <c r="W409">
        <v>46222.653275462966</v>
      </c>
    </row>
    <row r="410" spans="1:23" ht="30">
      <c r="A410" t="s">
        <v>494</v>
      </c>
      <c r="B410" t="s">
        <v>228</v>
      </c>
      <c r="C410" t="s">
        <v>21</v>
      </c>
      <c r="D410" t="s">
        <v>52</v>
      </c>
      <c r="E410" t="s">
        <v>229</v>
      </c>
      <c r="F410" s="1" t="s">
        <v>230</v>
      </c>
      <c r="G410" s="1" t="s">
        <v>231</v>
      </c>
      <c r="H410" s="1" t="s">
        <v>495</v>
      </c>
      <c r="I410">
        <v>25</v>
      </c>
      <c r="J410">
        <v>0</v>
      </c>
      <c r="K410">
        <v>0</v>
      </c>
      <c r="L410" s="11">
        <v>0</v>
      </c>
      <c r="M410" t="s">
        <v>594</v>
      </c>
      <c r="N410" s="12">
        <v>1</v>
      </c>
      <c r="O410" s="12">
        <v>2</v>
      </c>
      <c r="P410" s="12">
        <v>2</v>
      </c>
      <c r="Q410" s="12">
        <v>2</v>
      </c>
      <c r="R410" s="12">
        <v>2</v>
      </c>
      <c r="S410" s="12">
        <v>2</v>
      </c>
      <c r="T410" s="1" t="s">
        <v>601</v>
      </c>
      <c r="U410" s="1" t="s">
        <v>596</v>
      </c>
      <c r="V410">
        <v>20260719</v>
      </c>
      <c r="W410">
        <v>46222.653275462966</v>
      </c>
    </row>
    <row r="411" spans="1:23" ht="30">
      <c r="A411" t="s">
        <v>494</v>
      </c>
      <c r="B411" t="s">
        <v>228</v>
      </c>
      <c r="C411" t="s">
        <v>21</v>
      </c>
      <c r="D411" t="s">
        <v>52</v>
      </c>
      <c r="E411" t="s">
        <v>229</v>
      </c>
      <c r="F411" s="1" t="s">
        <v>230</v>
      </c>
      <c r="G411" s="1" t="s">
        <v>231</v>
      </c>
      <c r="H411" s="1" t="s">
        <v>495</v>
      </c>
      <c r="I411">
        <v>25</v>
      </c>
      <c r="J411">
        <v>0</v>
      </c>
      <c r="K411">
        <v>0</v>
      </c>
      <c r="L411" s="11">
        <v>0</v>
      </c>
      <c r="M411" t="s">
        <v>597</v>
      </c>
      <c r="N411" s="12">
        <v>1</v>
      </c>
      <c r="O411" s="12">
        <v>2</v>
      </c>
      <c r="P411" s="12">
        <v>2</v>
      </c>
      <c r="Q411" s="12">
        <v>2</v>
      </c>
      <c r="R411" s="12">
        <v>2</v>
      </c>
      <c r="S411" s="12">
        <v>3</v>
      </c>
      <c r="T411" s="1" t="s">
        <v>601</v>
      </c>
      <c r="U411" s="1" t="s">
        <v>596</v>
      </c>
      <c r="V411">
        <v>20260719</v>
      </c>
      <c r="W411">
        <v>46222.653275462966</v>
      </c>
    </row>
    <row r="412" spans="1:23" ht="30">
      <c r="A412" t="s">
        <v>494</v>
      </c>
      <c r="B412" t="s">
        <v>228</v>
      </c>
      <c r="C412" t="s">
        <v>21</v>
      </c>
      <c r="D412" t="s">
        <v>52</v>
      </c>
      <c r="E412" t="s">
        <v>229</v>
      </c>
      <c r="F412" s="1" t="s">
        <v>230</v>
      </c>
      <c r="G412" s="1" t="s">
        <v>231</v>
      </c>
      <c r="H412" s="1" t="s">
        <v>495</v>
      </c>
      <c r="I412">
        <v>25</v>
      </c>
      <c r="J412">
        <v>0</v>
      </c>
      <c r="K412">
        <v>0</v>
      </c>
      <c r="L412" s="11">
        <v>0</v>
      </c>
      <c r="M412" t="s">
        <v>598</v>
      </c>
      <c r="N412" s="12">
        <v>1</v>
      </c>
      <c r="O412" s="12">
        <v>2</v>
      </c>
      <c r="P412" s="12">
        <v>2</v>
      </c>
      <c r="Q412" s="12">
        <v>2</v>
      </c>
      <c r="R412" s="12">
        <v>2</v>
      </c>
      <c r="S412" s="12">
        <v>3</v>
      </c>
      <c r="T412" s="1" t="s">
        <v>601</v>
      </c>
      <c r="U412" s="1" t="s">
        <v>596</v>
      </c>
      <c r="V412">
        <v>20260719</v>
      </c>
      <c r="W412">
        <v>46222.653275462966</v>
      </c>
    </row>
    <row r="413" spans="1:23" ht="45">
      <c r="A413" t="s">
        <v>496</v>
      </c>
      <c r="B413" t="s">
        <v>234</v>
      </c>
      <c r="C413" t="s">
        <v>21</v>
      </c>
      <c r="D413" t="s">
        <v>52</v>
      </c>
      <c r="E413" t="s">
        <v>229</v>
      </c>
      <c r="F413" s="1" t="s">
        <v>235</v>
      </c>
      <c r="G413" s="1" t="s">
        <v>236</v>
      </c>
      <c r="H413" s="1" t="s">
        <v>497</v>
      </c>
      <c r="I413">
        <v>32</v>
      </c>
      <c r="J413">
        <v>0</v>
      </c>
      <c r="K413">
        <v>0</v>
      </c>
      <c r="L413" s="11">
        <v>0</v>
      </c>
      <c r="M413" t="s">
        <v>594</v>
      </c>
      <c r="N413" s="12">
        <v>0</v>
      </c>
      <c r="O413" s="12">
        <v>1</v>
      </c>
      <c r="P413" s="12">
        <v>1</v>
      </c>
      <c r="Q413" s="12">
        <v>1</v>
      </c>
      <c r="R413" s="12">
        <v>2</v>
      </c>
      <c r="S413" s="12">
        <v>2</v>
      </c>
      <c r="T413" s="1" t="s">
        <v>601</v>
      </c>
      <c r="U413" s="1" t="s">
        <v>596</v>
      </c>
      <c r="V413">
        <v>20260719</v>
      </c>
      <c r="W413">
        <v>46222.653275462966</v>
      </c>
    </row>
    <row r="414" spans="1:23" ht="45">
      <c r="A414" t="s">
        <v>496</v>
      </c>
      <c r="B414" t="s">
        <v>234</v>
      </c>
      <c r="C414" t="s">
        <v>21</v>
      </c>
      <c r="D414" t="s">
        <v>52</v>
      </c>
      <c r="E414" t="s">
        <v>229</v>
      </c>
      <c r="F414" s="1" t="s">
        <v>235</v>
      </c>
      <c r="G414" s="1" t="s">
        <v>236</v>
      </c>
      <c r="H414" s="1" t="s">
        <v>497</v>
      </c>
      <c r="I414">
        <v>32</v>
      </c>
      <c r="J414">
        <v>0</v>
      </c>
      <c r="K414">
        <v>0</v>
      </c>
      <c r="L414" s="11">
        <v>0</v>
      </c>
      <c r="M414" t="s">
        <v>597</v>
      </c>
      <c r="N414" s="12">
        <v>2</v>
      </c>
      <c r="O414" s="12">
        <v>2</v>
      </c>
      <c r="P414" s="12">
        <v>2</v>
      </c>
      <c r="Q414" s="12">
        <v>1</v>
      </c>
      <c r="R414" s="12">
        <v>2</v>
      </c>
      <c r="S414" s="12">
        <v>2</v>
      </c>
      <c r="T414" s="1" t="s">
        <v>601</v>
      </c>
      <c r="U414" s="1" t="s">
        <v>596</v>
      </c>
      <c r="V414">
        <v>20260719</v>
      </c>
      <c r="W414">
        <v>46222.653275462966</v>
      </c>
    </row>
    <row r="415" spans="1:23" ht="45">
      <c r="A415" t="s">
        <v>496</v>
      </c>
      <c r="B415" t="s">
        <v>234</v>
      </c>
      <c r="C415" t="s">
        <v>21</v>
      </c>
      <c r="D415" t="s">
        <v>52</v>
      </c>
      <c r="E415" t="s">
        <v>229</v>
      </c>
      <c r="F415" s="1" t="s">
        <v>235</v>
      </c>
      <c r="G415" s="1" t="s">
        <v>236</v>
      </c>
      <c r="H415" s="1" t="s">
        <v>497</v>
      </c>
      <c r="I415">
        <v>32</v>
      </c>
      <c r="J415">
        <v>0</v>
      </c>
      <c r="K415">
        <v>0</v>
      </c>
      <c r="L415" s="11">
        <v>0</v>
      </c>
      <c r="M415" t="s">
        <v>598</v>
      </c>
      <c r="N415" s="12">
        <v>2</v>
      </c>
      <c r="O415" s="12">
        <v>2</v>
      </c>
      <c r="P415" s="12">
        <v>2</v>
      </c>
      <c r="Q415" s="12">
        <v>1</v>
      </c>
      <c r="R415" s="12">
        <v>2</v>
      </c>
      <c r="S415" s="12">
        <v>2</v>
      </c>
      <c r="T415" s="1" t="s">
        <v>601</v>
      </c>
      <c r="U415" s="1" t="s">
        <v>596</v>
      </c>
      <c r="V415">
        <v>20260719</v>
      </c>
      <c r="W415">
        <v>46222.653275462966</v>
      </c>
    </row>
    <row r="416" spans="1:23" ht="30">
      <c r="A416" t="s">
        <v>498</v>
      </c>
      <c r="B416" t="s">
        <v>239</v>
      </c>
      <c r="C416" t="s">
        <v>21</v>
      </c>
      <c r="D416" t="s">
        <v>52</v>
      </c>
      <c r="E416" t="s">
        <v>229</v>
      </c>
      <c r="F416" s="1" t="s">
        <v>240</v>
      </c>
      <c r="G416" s="1" t="s">
        <v>241</v>
      </c>
      <c r="H416" s="1" t="s">
        <v>455</v>
      </c>
      <c r="I416">
        <v>29</v>
      </c>
      <c r="J416">
        <v>0</v>
      </c>
      <c r="K416">
        <v>0</v>
      </c>
      <c r="L416" s="11">
        <v>0</v>
      </c>
      <c r="M416" t="s">
        <v>594</v>
      </c>
      <c r="N416" s="12">
        <v>1</v>
      </c>
      <c r="O416" s="12">
        <v>2</v>
      </c>
      <c r="P416" s="12">
        <v>2</v>
      </c>
      <c r="Q416" s="12">
        <v>1</v>
      </c>
      <c r="R416" s="12">
        <v>2</v>
      </c>
      <c r="S416" s="12">
        <v>2</v>
      </c>
      <c r="T416" s="1" t="s">
        <v>601</v>
      </c>
      <c r="U416" s="1" t="s">
        <v>596</v>
      </c>
      <c r="V416">
        <v>20260719</v>
      </c>
      <c r="W416">
        <v>46222.653275462966</v>
      </c>
    </row>
    <row r="417" spans="1:23" ht="30">
      <c r="A417" t="s">
        <v>498</v>
      </c>
      <c r="B417" t="s">
        <v>239</v>
      </c>
      <c r="C417" t="s">
        <v>21</v>
      </c>
      <c r="D417" t="s">
        <v>52</v>
      </c>
      <c r="E417" t="s">
        <v>229</v>
      </c>
      <c r="F417" s="1" t="s">
        <v>240</v>
      </c>
      <c r="G417" s="1" t="s">
        <v>241</v>
      </c>
      <c r="H417" s="1" t="s">
        <v>455</v>
      </c>
      <c r="I417">
        <v>29</v>
      </c>
      <c r="J417">
        <v>0</v>
      </c>
      <c r="K417">
        <v>0</v>
      </c>
      <c r="L417" s="11">
        <v>0</v>
      </c>
      <c r="M417" t="s">
        <v>597</v>
      </c>
      <c r="N417" s="12">
        <v>1</v>
      </c>
      <c r="O417" s="12">
        <v>2</v>
      </c>
      <c r="P417" s="12">
        <v>2</v>
      </c>
      <c r="Q417" s="12">
        <v>1</v>
      </c>
      <c r="R417" s="12">
        <v>2</v>
      </c>
      <c r="S417" s="12">
        <v>2</v>
      </c>
      <c r="T417" s="1" t="s">
        <v>601</v>
      </c>
      <c r="U417" s="1" t="s">
        <v>596</v>
      </c>
      <c r="V417">
        <v>20260719</v>
      </c>
      <c r="W417">
        <v>46222.653275462966</v>
      </c>
    </row>
    <row r="418" spans="1:23" ht="30">
      <c r="A418" t="s">
        <v>498</v>
      </c>
      <c r="B418" t="s">
        <v>239</v>
      </c>
      <c r="C418" t="s">
        <v>21</v>
      </c>
      <c r="D418" t="s">
        <v>52</v>
      </c>
      <c r="E418" t="s">
        <v>229</v>
      </c>
      <c r="F418" s="1" t="s">
        <v>240</v>
      </c>
      <c r="G418" s="1" t="s">
        <v>241</v>
      </c>
      <c r="H418" s="1" t="s">
        <v>455</v>
      </c>
      <c r="I418">
        <v>29</v>
      </c>
      <c r="J418">
        <v>0</v>
      </c>
      <c r="K418">
        <v>0</v>
      </c>
      <c r="L418" s="11">
        <v>0</v>
      </c>
      <c r="M418" t="s">
        <v>598</v>
      </c>
      <c r="N418" s="12">
        <v>2</v>
      </c>
      <c r="O418" s="12">
        <v>2</v>
      </c>
      <c r="P418" s="12">
        <v>2</v>
      </c>
      <c r="Q418" s="12">
        <v>1</v>
      </c>
      <c r="R418" s="12">
        <v>2</v>
      </c>
      <c r="S418" s="12">
        <v>2</v>
      </c>
      <c r="T418" s="1" t="s">
        <v>601</v>
      </c>
      <c r="U418" s="1" t="s">
        <v>596</v>
      </c>
      <c r="V418">
        <v>20260719</v>
      </c>
      <c r="W418">
        <v>46222.653275462966</v>
      </c>
    </row>
    <row r="419" spans="1:23" ht="30">
      <c r="A419" t="s">
        <v>499</v>
      </c>
      <c r="B419" t="s">
        <v>244</v>
      </c>
      <c r="C419" t="s">
        <v>21</v>
      </c>
      <c r="D419" t="s">
        <v>52</v>
      </c>
      <c r="E419" t="s">
        <v>229</v>
      </c>
      <c r="F419" s="1" t="s">
        <v>245</v>
      </c>
      <c r="G419" s="1" t="s">
        <v>246</v>
      </c>
      <c r="H419" s="1" t="s">
        <v>458</v>
      </c>
      <c r="I419">
        <v>25</v>
      </c>
      <c r="J419">
        <v>0</v>
      </c>
      <c r="K419">
        <v>0</v>
      </c>
      <c r="L419" s="11">
        <v>0</v>
      </c>
      <c r="M419" t="s">
        <v>594</v>
      </c>
      <c r="N419" s="12">
        <v>1</v>
      </c>
      <c r="O419" s="12">
        <v>2</v>
      </c>
      <c r="P419" s="12">
        <v>2</v>
      </c>
      <c r="Q419" s="12">
        <v>1</v>
      </c>
      <c r="R419" s="12">
        <v>2</v>
      </c>
      <c r="S419" s="12">
        <v>2</v>
      </c>
      <c r="T419" s="1" t="s">
        <v>601</v>
      </c>
      <c r="U419" s="1" t="s">
        <v>596</v>
      </c>
      <c r="V419">
        <v>20260719</v>
      </c>
      <c r="W419">
        <v>46222.653275462966</v>
      </c>
    </row>
    <row r="420" spans="1:23" ht="30">
      <c r="A420" t="s">
        <v>499</v>
      </c>
      <c r="B420" t="s">
        <v>244</v>
      </c>
      <c r="C420" t="s">
        <v>21</v>
      </c>
      <c r="D420" t="s">
        <v>52</v>
      </c>
      <c r="E420" t="s">
        <v>229</v>
      </c>
      <c r="F420" s="1" t="s">
        <v>245</v>
      </c>
      <c r="G420" s="1" t="s">
        <v>246</v>
      </c>
      <c r="H420" s="1" t="s">
        <v>458</v>
      </c>
      <c r="I420">
        <v>25</v>
      </c>
      <c r="J420">
        <v>0</v>
      </c>
      <c r="K420">
        <v>0</v>
      </c>
      <c r="L420" s="11">
        <v>0</v>
      </c>
      <c r="M420" t="s">
        <v>597</v>
      </c>
      <c r="N420" s="12">
        <v>1</v>
      </c>
      <c r="O420" s="12">
        <v>2</v>
      </c>
      <c r="P420" s="12">
        <v>2</v>
      </c>
      <c r="Q420" s="12">
        <v>1</v>
      </c>
      <c r="R420" s="12">
        <v>2</v>
      </c>
      <c r="S420" s="12">
        <v>3</v>
      </c>
      <c r="T420" s="1" t="s">
        <v>601</v>
      </c>
      <c r="U420" s="1" t="s">
        <v>596</v>
      </c>
      <c r="V420">
        <v>20260719</v>
      </c>
      <c r="W420">
        <v>46222.653275462966</v>
      </c>
    </row>
    <row r="421" spans="1:23" ht="30">
      <c r="A421" t="s">
        <v>499</v>
      </c>
      <c r="B421" t="s">
        <v>244</v>
      </c>
      <c r="C421" t="s">
        <v>21</v>
      </c>
      <c r="D421" t="s">
        <v>52</v>
      </c>
      <c r="E421" t="s">
        <v>229</v>
      </c>
      <c r="F421" s="1" t="s">
        <v>245</v>
      </c>
      <c r="G421" s="1" t="s">
        <v>246</v>
      </c>
      <c r="H421" s="1" t="s">
        <v>458</v>
      </c>
      <c r="I421">
        <v>25</v>
      </c>
      <c r="J421">
        <v>0</v>
      </c>
      <c r="K421">
        <v>0</v>
      </c>
      <c r="L421" s="11">
        <v>0</v>
      </c>
      <c r="M421" t="s">
        <v>598</v>
      </c>
      <c r="N421" s="12">
        <v>2</v>
      </c>
      <c r="O421" s="12">
        <v>2</v>
      </c>
      <c r="P421" s="12">
        <v>2</v>
      </c>
      <c r="Q421" s="12">
        <v>2</v>
      </c>
      <c r="R421" s="12">
        <v>2</v>
      </c>
      <c r="S421" s="12">
        <v>3</v>
      </c>
      <c r="T421" s="1" t="s">
        <v>601</v>
      </c>
      <c r="U421" s="1" t="s">
        <v>596</v>
      </c>
      <c r="V421">
        <v>20260719</v>
      </c>
      <c r="W421">
        <v>46222.653275462966</v>
      </c>
    </row>
    <row r="422" spans="1:23" ht="30">
      <c r="A422" t="s">
        <v>500</v>
      </c>
      <c r="B422" t="s">
        <v>249</v>
      </c>
      <c r="C422" t="s">
        <v>21</v>
      </c>
      <c r="D422" t="s">
        <v>52</v>
      </c>
      <c r="E422" t="s">
        <v>250</v>
      </c>
      <c r="F422" s="1" t="s">
        <v>251</v>
      </c>
      <c r="G422" s="1" t="s">
        <v>252</v>
      </c>
      <c r="H422" s="1" t="s">
        <v>460</v>
      </c>
      <c r="I422">
        <v>25</v>
      </c>
      <c r="J422">
        <v>0</v>
      </c>
      <c r="K422">
        <v>0</v>
      </c>
      <c r="L422" s="11">
        <v>0</v>
      </c>
      <c r="M422" t="s">
        <v>594</v>
      </c>
      <c r="N422" s="12">
        <v>1</v>
      </c>
      <c r="O422" s="12">
        <v>2</v>
      </c>
      <c r="P422" s="12">
        <v>2</v>
      </c>
      <c r="Q422" s="12">
        <v>1</v>
      </c>
      <c r="R422" s="12">
        <v>1</v>
      </c>
      <c r="S422" s="12">
        <v>2</v>
      </c>
      <c r="T422" s="1" t="s">
        <v>601</v>
      </c>
      <c r="U422" s="1" t="s">
        <v>596</v>
      </c>
      <c r="V422">
        <v>20260719</v>
      </c>
      <c r="W422">
        <v>46222.653275462966</v>
      </c>
    </row>
    <row r="423" spans="1:23" ht="30">
      <c r="A423" t="s">
        <v>500</v>
      </c>
      <c r="B423" t="s">
        <v>249</v>
      </c>
      <c r="C423" t="s">
        <v>21</v>
      </c>
      <c r="D423" t="s">
        <v>52</v>
      </c>
      <c r="E423" t="s">
        <v>250</v>
      </c>
      <c r="F423" s="1" t="s">
        <v>251</v>
      </c>
      <c r="G423" s="1" t="s">
        <v>252</v>
      </c>
      <c r="H423" s="1" t="s">
        <v>460</v>
      </c>
      <c r="I423">
        <v>25</v>
      </c>
      <c r="J423">
        <v>0</v>
      </c>
      <c r="K423">
        <v>0</v>
      </c>
      <c r="L423" s="11">
        <v>0</v>
      </c>
      <c r="M423" t="s">
        <v>597</v>
      </c>
      <c r="N423" s="12">
        <v>1</v>
      </c>
      <c r="O423" s="12">
        <v>2</v>
      </c>
      <c r="P423" s="12">
        <v>3</v>
      </c>
      <c r="Q423" s="12">
        <v>1</v>
      </c>
      <c r="R423" s="12">
        <v>1</v>
      </c>
      <c r="S423" s="12">
        <v>2</v>
      </c>
      <c r="T423" s="1" t="s">
        <v>601</v>
      </c>
      <c r="U423" s="1" t="s">
        <v>596</v>
      </c>
      <c r="V423">
        <v>20260719</v>
      </c>
      <c r="W423">
        <v>46222.653275462966</v>
      </c>
    </row>
    <row r="424" spans="1:23" ht="30">
      <c r="A424" t="s">
        <v>500</v>
      </c>
      <c r="B424" t="s">
        <v>249</v>
      </c>
      <c r="C424" t="s">
        <v>21</v>
      </c>
      <c r="D424" t="s">
        <v>52</v>
      </c>
      <c r="E424" t="s">
        <v>250</v>
      </c>
      <c r="F424" s="1" t="s">
        <v>251</v>
      </c>
      <c r="G424" s="1" t="s">
        <v>252</v>
      </c>
      <c r="H424" s="1" t="s">
        <v>460</v>
      </c>
      <c r="I424">
        <v>25</v>
      </c>
      <c r="J424">
        <v>0</v>
      </c>
      <c r="K424">
        <v>0</v>
      </c>
      <c r="L424" s="11">
        <v>0</v>
      </c>
      <c r="M424" t="s">
        <v>598</v>
      </c>
      <c r="N424" s="12">
        <v>1</v>
      </c>
      <c r="O424" s="12">
        <v>2</v>
      </c>
      <c r="P424" s="12">
        <v>2</v>
      </c>
      <c r="Q424" s="12">
        <v>1</v>
      </c>
      <c r="R424" s="12">
        <v>2</v>
      </c>
      <c r="S424" s="12">
        <v>2</v>
      </c>
      <c r="T424" s="1" t="s">
        <v>601</v>
      </c>
      <c r="U424" s="1" t="s">
        <v>596</v>
      </c>
      <c r="V424">
        <v>20260719</v>
      </c>
      <c r="W424">
        <v>46222.653275462966</v>
      </c>
    </row>
    <row r="425" spans="1:23" ht="30">
      <c r="A425" t="s">
        <v>501</v>
      </c>
      <c r="B425" t="s">
        <v>255</v>
      </c>
      <c r="C425" t="s">
        <v>21</v>
      </c>
      <c r="D425" t="s">
        <v>52</v>
      </c>
      <c r="E425" t="s">
        <v>250</v>
      </c>
      <c r="F425" s="1" t="s">
        <v>256</v>
      </c>
      <c r="G425" s="1" t="s">
        <v>257</v>
      </c>
      <c r="H425" s="1" t="s">
        <v>462</v>
      </c>
      <c r="I425">
        <v>30</v>
      </c>
      <c r="J425">
        <v>0</v>
      </c>
      <c r="K425">
        <v>0</v>
      </c>
      <c r="L425" s="11">
        <v>0</v>
      </c>
      <c r="M425" t="s">
        <v>594</v>
      </c>
      <c r="N425" s="12">
        <v>1</v>
      </c>
      <c r="O425" s="12">
        <v>2</v>
      </c>
      <c r="P425" s="12">
        <v>2</v>
      </c>
      <c r="Q425" s="12">
        <v>1</v>
      </c>
      <c r="R425" s="12">
        <v>1</v>
      </c>
      <c r="S425" s="12">
        <v>2</v>
      </c>
      <c r="T425" s="1" t="s">
        <v>601</v>
      </c>
      <c r="U425" s="1" t="s">
        <v>596</v>
      </c>
      <c r="V425">
        <v>20260719</v>
      </c>
      <c r="W425">
        <v>46222.653275462966</v>
      </c>
    </row>
    <row r="426" spans="1:23" ht="30">
      <c r="A426" t="s">
        <v>501</v>
      </c>
      <c r="B426" t="s">
        <v>255</v>
      </c>
      <c r="C426" t="s">
        <v>21</v>
      </c>
      <c r="D426" t="s">
        <v>52</v>
      </c>
      <c r="E426" t="s">
        <v>250</v>
      </c>
      <c r="F426" s="1" t="s">
        <v>256</v>
      </c>
      <c r="G426" s="1" t="s">
        <v>257</v>
      </c>
      <c r="H426" s="1" t="s">
        <v>462</v>
      </c>
      <c r="I426">
        <v>30</v>
      </c>
      <c r="J426">
        <v>0</v>
      </c>
      <c r="K426">
        <v>0</v>
      </c>
      <c r="L426" s="11">
        <v>0</v>
      </c>
      <c r="M426" t="s">
        <v>597</v>
      </c>
      <c r="N426" s="12">
        <v>1</v>
      </c>
      <c r="O426" s="12">
        <v>2</v>
      </c>
      <c r="P426" s="12">
        <v>3</v>
      </c>
      <c r="Q426" s="12">
        <v>1</v>
      </c>
      <c r="R426" s="12">
        <v>1</v>
      </c>
      <c r="S426" s="12">
        <v>3</v>
      </c>
      <c r="T426" s="1" t="s">
        <v>601</v>
      </c>
      <c r="U426" s="1" t="s">
        <v>596</v>
      </c>
      <c r="V426">
        <v>20260719</v>
      </c>
      <c r="W426">
        <v>46222.653275462966</v>
      </c>
    </row>
    <row r="427" spans="1:23" ht="30">
      <c r="A427" t="s">
        <v>501</v>
      </c>
      <c r="B427" t="s">
        <v>255</v>
      </c>
      <c r="C427" t="s">
        <v>21</v>
      </c>
      <c r="D427" t="s">
        <v>52</v>
      </c>
      <c r="E427" t="s">
        <v>250</v>
      </c>
      <c r="F427" s="1" t="s">
        <v>256</v>
      </c>
      <c r="G427" s="1" t="s">
        <v>257</v>
      </c>
      <c r="H427" s="1" t="s">
        <v>462</v>
      </c>
      <c r="I427">
        <v>30</v>
      </c>
      <c r="J427">
        <v>0</v>
      </c>
      <c r="K427">
        <v>0</v>
      </c>
      <c r="L427" s="11">
        <v>0</v>
      </c>
      <c r="M427" t="s">
        <v>598</v>
      </c>
      <c r="N427" s="12">
        <v>1</v>
      </c>
      <c r="O427" s="12">
        <v>3</v>
      </c>
      <c r="P427" s="12">
        <v>2</v>
      </c>
      <c r="Q427" s="12">
        <v>1</v>
      </c>
      <c r="R427" s="12">
        <v>1</v>
      </c>
      <c r="S427" s="12">
        <v>3</v>
      </c>
      <c r="T427" s="1" t="s">
        <v>601</v>
      </c>
      <c r="U427" s="1" t="s">
        <v>596</v>
      </c>
      <c r="V427">
        <v>20260719</v>
      </c>
      <c r="W427">
        <v>46222.653275462966</v>
      </c>
    </row>
    <row r="428" spans="1:23" ht="30">
      <c r="A428" t="s">
        <v>502</v>
      </c>
      <c r="B428" t="s">
        <v>260</v>
      </c>
      <c r="C428" t="s">
        <v>21</v>
      </c>
      <c r="D428" t="s">
        <v>52</v>
      </c>
      <c r="E428" t="s">
        <v>250</v>
      </c>
      <c r="F428" s="1" t="s">
        <v>261</v>
      </c>
      <c r="G428" s="1" t="s">
        <v>262</v>
      </c>
      <c r="H428" s="1" t="s">
        <v>464</v>
      </c>
      <c r="I428">
        <v>24</v>
      </c>
      <c r="J428">
        <v>0</v>
      </c>
      <c r="K428">
        <v>0</v>
      </c>
      <c r="L428" s="11">
        <v>0</v>
      </c>
      <c r="M428" t="s">
        <v>594</v>
      </c>
      <c r="N428" s="12">
        <v>2</v>
      </c>
      <c r="O428" s="12">
        <v>2</v>
      </c>
      <c r="P428" s="12">
        <v>2</v>
      </c>
      <c r="Q428" s="12">
        <v>2</v>
      </c>
      <c r="R428" s="12">
        <v>1</v>
      </c>
      <c r="S428" s="12">
        <v>3</v>
      </c>
      <c r="T428" s="1" t="s">
        <v>601</v>
      </c>
      <c r="U428" s="1" t="s">
        <v>596</v>
      </c>
      <c r="V428">
        <v>20260719</v>
      </c>
      <c r="W428">
        <v>46222.653275462966</v>
      </c>
    </row>
    <row r="429" spans="1:23" ht="30">
      <c r="A429" t="s">
        <v>502</v>
      </c>
      <c r="B429" t="s">
        <v>260</v>
      </c>
      <c r="C429" t="s">
        <v>21</v>
      </c>
      <c r="D429" t="s">
        <v>52</v>
      </c>
      <c r="E429" t="s">
        <v>250</v>
      </c>
      <c r="F429" s="1" t="s">
        <v>261</v>
      </c>
      <c r="G429" s="1" t="s">
        <v>262</v>
      </c>
      <c r="H429" s="1" t="s">
        <v>464</v>
      </c>
      <c r="I429">
        <v>24</v>
      </c>
      <c r="J429">
        <v>0</v>
      </c>
      <c r="K429">
        <v>0</v>
      </c>
      <c r="L429" s="11">
        <v>0</v>
      </c>
      <c r="M429" t="s">
        <v>597</v>
      </c>
      <c r="N429" s="12">
        <v>2</v>
      </c>
      <c r="O429" s="12">
        <v>1</v>
      </c>
      <c r="P429" s="12">
        <v>2</v>
      </c>
      <c r="Q429" s="12">
        <v>3</v>
      </c>
      <c r="R429" s="12">
        <v>2</v>
      </c>
      <c r="S429" s="12">
        <v>2</v>
      </c>
      <c r="T429" s="1" t="s">
        <v>601</v>
      </c>
      <c r="U429" s="1" t="s">
        <v>596</v>
      </c>
      <c r="V429">
        <v>20260719</v>
      </c>
      <c r="W429">
        <v>46222.653275462966</v>
      </c>
    </row>
    <row r="430" spans="1:23" ht="30">
      <c r="A430" t="s">
        <v>502</v>
      </c>
      <c r="B430" t="s">
        <v>260</v>
      </c>
      <c r="C430" t="s">
        <v>21</v>
      </c>
      <c r="D430" t="s">
        <v>52</v>
      </c>
      <c r="E430" t="s">
        <v>250</v>
      </c>
      <c r="F430" s="1" t="s">
        <v>261</v>
      </c>
      <c r="G430" s="1" t="s">
        <v>262</v>
      </c>
      <c r="H430" s="1" t="s">
        <v>464</v>
      </c>
      <c r="I430">
        <v>24</v>
      </c>
      <c r="J430">
        <v>0</v>
      </c>
      <c r="K430">
        <v>0</v>
      </c>
      <c r="L430" s="11">
        <v>0</v>
      </c>
      <c r="M430" t="s">
        <v>598</v>
      </c>
      <c r="N430" s="12">
        <v>2</v>
      </c>
      <c r="O430" s="12">
        <v>2</v>
      </c>
      <c r="P430" s="12">
        <v>2</v>
      </c>
      <c r="Q430" s="12">
        <v>3</v>
      </c>
      <c r="R430" s="12">
        <v>1</v>
      </c>
      <c r="S430" s="12">
        <v>3</v>
      </c>
      <c r="T430" s="1" t="s">
        <v>601</v>
      </c>
      <c r="U430" s="1" t="s">
        <v>596</v>
      </c>
      <c r="V430">
        <v>20260719</v>
      </c>
      <c r="W430">
        <v>46222.653275462966</v>
      </c>
    </row>
    <row r="431" spans="1:23" ht="45">
      <c r="A431" t="s">
        <v>503</v>
      </c>
      <c r="B431" t="s">
        <v>265</v>
      </c>
      <c r="C431" t="s">
        <v>21</v>
      </c>
      <c r="D431" t="s">
        <v>52</v>
      </c>
      <c r="E431" t="s">
        <v>250</v>
      </c>
      <c r="F431" s="1" t="s">
        <v>266</v>
      </c>
      <c r="G431" s="1" t="s">
        <v>267</v>
      </c>
      <c r="H431" s="1" t="s">
        <v>466</v>
      </c>
      <c r="I431">
        <v>30</v>
      </c>
      <c r="J431">
        <v>0</v>
      </c>
      <c r="K431">
        <v>0</v>
      </c>
      <c r="L431" s="11">
        <v>0</v>
      </c>
      <c r="M431" t="s">
        <v>594</v>
      </c>
      <c r="N431" s="12">
        <v>2</v>
      </c>
      <c r="O431" s="12">
        <v>2</v>
      </c>
      <c r="P431" s="12">
        <v>2</v>
      </c>
      <c r="Q431" s="12">
        <v>2</v>
      </c>
      <c r="R431" s="12">
        <v>2</v>
      </c>
      <c r="S431" s="12">
        <v>2</v>
      </c>
      <c r="T431" s="1" t="s">
        <v>601</v>
      </c>
      <c r="U431" s="1" t="s">
        <v>596</v>
      </c>
      <c r="V431">
        <v>20260719</v>
      </c>
      <c r="W431">
        <v>46222.653275462966</v>
      </c>
    </row>
    <row r="432" spans="1:23" ht="45">
      <c r="A432" t="s">
        <v>503</v>
      </c>
      <c r="B432" t="s">
        <v>265</v>
      </c>
      <c r="C432" t="s">
        <v>21</v>
      </c>
      <c r="D432" t="s">
        <v>52</v>
      </c>
      <c r="E432" t="s">
        <v>250</v>
      </c>
      <c r="F432" s="1" t="s">
        <v>266</v>
      </c>
      <c r="G432" s="1" t="s">
        <v>267</v>
      </c>
      <c r="H432" s="1" t="s">
        <v>466</v>
      </c>
      <c r="I432">
        <v>30</v>
      </c>
      <c r="J432">
        <v>0</v>
      </c>
      <c r="K432">
        <v>0</v>
      </c>
      <c r="L432" s="11">
        <v>0</v>
      </c>
      <c r="M432" t="s">
        <v>597</v>
      </c>
      <c r="N432" s="12">
        <v>2</v>
      </c>
      <c r="O432" s="12">
        <v>2</v>
      </c>
      <c r="P432" s="12">
        <v>2</v>
      </c>
      <c r="Q432" s="12">
        <v>2</v>
      </c>
      <c r="R432" s="12">
        <v>2</v>
      </c>
      <c r="S432" s="12">
        <v>2</v>
      </c>
      <c r="T432" s="1" t="s">
        <v>601</v>
      </c>
      <c r="U432" s="1" t="s">
        <v>596</v>
      </c>
      <c r="V432">
        <v>20260719</v>
      </c>
      <c r="W432">
        <v>46222.653275462966</v>
      </c>
    </row>
    <row r="433" spans="1:23" ht="45">
      <c r="A433" t="s">
        <v>503</v>
      </c>
      <c r="B433" t="s">
        <v>265</v>
      </c>
      <c r="C433" t="s">
        <v>21</v>
      </c>
      <c r="D433" t="s">
        <v>52</v>
      </c>
      <c r="E433" t="s">
        <v>250</v>
      </c>
      <c r="F433" s="1" t="s">
        <v>266</v>
      </c>
      <c r="G433" s="1" t="s">
        <v>267</v>
      </c>
      <c r="H433" s="1" t="s">
        <v>466</v>
      </c>
      <c r="I433">
        <v>30</v>
      </c>
      <c r="J433">
        <v>0</v>
      </c>
      <c r="K433">
        <v>0</v>
      </c>
      <c r="L433" s="11">
        <v>0</v>
      </c>
      <c r="M433" t="s">
        <v>598</v>
      </c>
      <c r="N433" s="12">
        <v>2</v>
      </c>
      <c r="O433" s="12">
        <v>2</v>
      </c>
      <c r="P433" s="12">
        <v>2</v>
      </c>
      <c r="Q433" s="12">
        <v>2</v>
      </c>
      <c r="R433" s="12">
        <v>2</v>
      </c>
      <c r="S433" s="12">
        <v>2</v>
      </c>
      <c r="T433" s="1" t="s">
        <v>601</v>
      </c>
      <c r="U433" s="1" t="s">
        <v>596</v>
      </c>
      <c r="V433">
        <v>20260719</v>
      </c>
      <c r="W433">
        <v>46222.653275462966</v>
      </c>
    </row>
    <row r="434" spans="1:23" ht="45">
      <c r="A434" t="s">
        <v>504</v>
      </c>
      <c r="B434" t="s">
        <v>142</v>
      </c>
      <c r="C434" t="s">
        <v>22</v>
      </c>
      <c r="D434" t="s">
        <v>53</v>
      </c>
      <c r="E434" t="s">
        <v>143</v>
      </c>
      <c r="F434" s="1" t="s">
        <v>144</v>
      </c>
      <c r="G434" s="1" t="s">
        <v>145</v>
      </c>
      <c r="H434" s="1" t="s">
        <v>505</v>
      </c>
      <c r="I434">
        <v>35</v>
      </c>
      <c r="J434">
        <v>0</v>
      </c>
      <c r="K434">
        <v>4</v>
      </c>
      <c r="L434" s="11">
        <v>-0.114286</v>
      </c>
      <c r="M434" t="s">
        <v>594</v>
      </c>
      <c r="N434" s="12">
        <v>0</v>
      </c>
      <c r="O434" s="12">
        <v>3</v>
      </c>
      <c r="P434" s="12">
        <v>2</v>
      </c>
      <c r="Q434" s="12">
        <v>0</v>
      </c>
      <c r="R434" s="12">
        <v>3</v>
      </c>
      <c r="S434" s="12">
        <v>3</v>
      </c>
      <c r="T434" s="1" t="s">
        <v>595</v>
      </c>
      <c r="U434" s="1" t="s">
        <v>596</v>
      </c>
      <c r="V434">
        <v>20260719</v>
      </c>
      <c r="W434">
        <v>46222.653275462966</v>
      </c>
    </row>
    <row r="435" spans="1:23" ht="45">
      <c r="A435" t="s">
        <v>504</v>
      </c>
      <c r="B435" t="s">
        <v>142</v>
      </c>
      <c r="C435" t="s">
        <v>22</v>
      </c>
      <c r="D435" t="s">
        <v>53</v>
      </c>
      <c r="E435" t="s">
        <v>143</v>
      </c>
      <c r="F435" s="1" t="s">
        <v>144</v>
      </c>
      <c r="G435" s="1" t="s">
        <v>145</v>
      </c>
      <c r="H435" s="1" t="s">
        <v>505</v>
      </c>
      <c r="I435">
        <v>35</v>
      </c>
      <c r="J435">
        <v>0</v>
      </c>
      <c r="K435">
        <v>4</v>
      </c>
      <c r="L435" s="11">
        <v>-0.114286</v>
      </c>
      <c r="M435" t="s">
        <v>597</v>
      </c>
      <c r="N435" s="12">
        <v>0</v>
      </c>
      <c r="O435" s="12">
        <v>3</v>
      </c>
      <c r="P435" s="12">
        <v>3</v>
      </c>
      <c r="Q435" s="12">
        <v>0</v>
      </c>
      <c r="R435" s="12">
        <v>3</v>
      </c>
      <c r="S435" s="12">
        <v>3</v>
      </c>
      <c r="T435" s="1" t="s">
        <v>595</v>
      </c>
      <c r="U435" s="1" t="s">
        <v>596</v>
      </c>
      <c r="V435">
        <v>20260719</v>
      </c>
      <c r="W435">
        <v>46222.653275462966</v>
      </c>
    </row>
    <row r="436" spans="1:23" ht="45">
      <c r="A436" t="s">
        <v>504</v>
      </c>
      <c r="B436" t="s">
        <v>142</v>
      </c>
      <c r="C436" t="s">
        <v>22</v>
      </c>
      <c r="D436" t="s">
        <v>53</v>
      </c>
      <c r="E436" t="s">
        <v>143</v>
      </c>
      <c r="F436" s="1" t="s">
        <v>144</v>
      </c>
      <c r="G436" s="1" t="s">
        <v>145</v>
      </c>
      <c r="H436" s="1" t="s">
        <v>505</v>
      </c>
      <c r="I436">
        <v>35</v>
      </c>
      <c r="J436">
        <v>0</v>
      </c>
      <c r="K436">
        <v>4</v>
      </c>
      <c r="L436" s="11">
        <v>-0.114286</v>
      </c>
      <c r="M436" t="s">
        <v>598</v>
      </c>
      <c r="N436" s="12">
        <v>0</v>
      </c>
      <c r="O436" s="12">
        <v>3</v>
      </c>
      <c r="P436" s="12">
        <v>3</v>
      </c>
      <c r="Q436" s="12">
        <v>0</v>
      </c>
      <c r="R436" s="12">
        <v>3</v>
      </c>
      <c r="S436" s="12">
        <v>3</v>
      </c>
      <c r="T436" s="1" t="s">
        <v>595</v>
      </c>
      <c r="U436" s="1" t="s">
        <v>596</v>
      </c>
      <c r="V436">
        <v>20260719</v>
      </c>
      <c r="W436">
        <v>46222.653275462966</v>
      </c>
    </row>
    <row r="437" spans="1:23" ht="45">
      <c r="A437" t="s">
        <v>506</v>
      </c>
      <c r="B437" t="s">
        <v>149</v>
      </c>
      <c r="C437" t="s">
        <v>22</v>
      </c>
      <c r="D437" t="s">
        <v>53</v>
      </c>
      <c r="E437" t="s">
        <v>143</v>
      </c>
      <c r="F437" s="1" t="s">
        <v>150</v>
      </c>
      <c r="G437" s="1" t="s">
        <v>151</v>
      </c>
      <c r="H437" s="1" t="s">
        <v>507</v>
      </c>
      <c r="I437">
        <v>35</v>
      </c>
      <c r="J437">
        <v>0</v>
      </c>
      <c r="K437">
        <v>4</v>
      </c>
      <c r="L437" s="11">
        <v>-0.114286</v>
      </c>
      <c r="M437" t="s">
        <v>594</v>
      </c>
      <c r="N437" s="12">
        <v>0</v>
      </c>
      <c r="O437" s="12">
        <v>2</v>
      </c>
      <c r="P437" s="12">
        <v>3</v>
      </c>
      <c r="Q437" s="12">
        <v>1</v>
      </c>
      <c r="R437" s="12">
        <v>2</v>
      </c>
      <c r="S437" s="12">
        <v>3</v>
      </c>
      <c r="T437" s="1" t="s">
        <v>595</v>
      </c>
      <c r="U437" s="1" t="s">
        <v>596</v>
      </c>
      <c r="V437">
        <v>20260719</v>
      </c>
      <c r="W437">
        <v>46222.653275462966</v>
      </c>
    </row>
    <row r="438" spans="1:23" ht="45">
      <c r="A438" t="s">
        <v>506</v>
      </c>
      <c r="B438" t="s">
        <v>149</v>
      </c>
      <c r="C438" t="s">
        <v>22</v>
      </c>
      <c r="D438" t="s">
        <v>53</v>
      </c>
      <c r="E438" t="s">
        <v>143</v>
      </c>
      <c r="F438" s="1" t="s">
        <v>150</v>
      </c>
      <c r="G438" s="1" t="s">
        <v>151</v>
      </c>
      <c r="H438" s="1" t="s">
        <v>507</v>
      </c>
      <c r="I438">
        <v>35</v>
      </c>
      <c r="J438">
        <v>0</v>
      </c>
      <c r="K438">
        <v>4</v>
      </c>
      <c r="L438" s="11">
        <v>-0.114286</v>
      </c>
      <c r="M438" t="s">
        <v>597</v>
      </c>
      <c r="N438" s="12">
        <v>0</v>
      </c>
      <c r="O438" s="12">
        <v>3</v>
      </c>
      <c r="P438" s="12">
        <v>3</v>
      </c>
      <c r="Q438" s="12">
        <v>1</v>
      </c>
      <c r="R438" s="12">
        <v>2</v>
      </c>
      <c r="S438" s="12">
        <v>3</v>
      </c>
      <c r="T438" s="1" t="s">
        <v>595</v>
      </c>
      <c r="U438" s="1" t="s">
        <v>596</v>
      </c>
      <c r="V438">
        <v>20260719</v>
      </c>
      <c r="W438">
        <v>46222.653275462966</v>
      </c>
    </row>
    <row r="439" spans="1:23" ht="45">
      <c r="A439" t="s">
        <v>506</v>
      </c>
      <c r="B439" t="s">
        <v>149</v>
      </c>
      <c r="C439" t="s">
        <v>22</v>
      </c>
      <c r="D439" t="s">
        <v>53</v>
      </c>
      <c r="E439" t="s">
        <v>143</v>
      </c>
      <c r="F439" s="1" t="s">
        <v>150</v>
      </c>
      <c r="G439" s="1" t="s">
        <v>151</v>
      </c>
      <c r="H439" s="1" t="s">
        <v>507</v>
      </c>
      <c r="I439">
        <v>35</v>
      </c>
      <c r="J439">
        <v>0</v>
      </c>
      <c r="K439">
        <v>4</v>
      </c>
      <c r="L439" s="11">
        <v>-0.114286</v>
      </c>
      <c r="M439" t="s">
        <v>598</v>
      </c>
      <c r="N439" s="12">
        <v>0</v>
      </c>
      <c r="O439" s="12">
        <v>2</v>
      </c>
      <c r="P439" s="12">
        <v>3</v>
      </c>
      <c r="Q439" s="12">
        <v>0</v>
      </c>
      <c r="R439" s="12">
        <v>2</v>
      </c>
      <c r="S439" s="12">
        <v>2</v>
      </c>
      <c r="T439" s="1" t="s">
        <v>595</v>
      </c>
      <c r="U439" s="1" t="s">
        <v>596</v>
      </c>
      <c r="V439">
        <v>20260719</v>
      </c>
      <c r="W439">
        <v>46222.653275462966</v>
      </c>
    </row>
    <row r="440" spans="1:23" ht="45">
      <c r="A440" t="s">
        <v>508</v>
      </c>
      <c r="B440" t="s">
        <v>154</v>
      </c>
      <c r="C440" t="s">
        <v>22</v>
      </c>
      <c r="D440" t="s">
        <v>53</v>
      </c>
      <c r="E440" t="s">
        <v>143</v>
      </c>
      <c r="F440" s="1" t="s">
        <v>155</v>
      </c>
      <c r="G440" s="1" t="s">
        <v>156</v>
      </c>
      <c r="H440" s="1" t="s">
        <v>157</v>
      </c>
      <c r="I440">
        <v>33</v>
      </c>
      <c r="J440">
        <v>0</v>
      </c>
      <c r="K440">
        <v>4</v>
      </c>
      <c r="L440" s="11">
        <v>-0.121212</v>
      </c>
      <c r="M440" t="s">
        <v>594</v>
      </c>
      <c r="N440" s="12">
        <v>1</v>
      </c>
      <c r="O440" s="12">
        <v>3</v>
      </c>
      <c r="P440" s="12">
        <v>3</v>
      </c>
      <c r="Q440" s="12">
        <v>1</v>
      </c>
      <c r="R440" s="12">
        <v>3</v>
      </c>
      <c r="S440" s="12">
        <v>3</v>
      </c>
      <c r="T440" s="1" t="s">
        <v>595</v>
      </c>
      <c r="U440" s="1" t="s">
        <v>596</v>
      </c>
      <c r="V440">
        <v>20260719</v>
      </c>
      <c r="W440">
        <v>46222.653275462966</v>
      </c>
    </row>
    <row r="441" spans="1:23" ht="45">
      <c r="A441" t="s">
        <v>508</v>
      </c>
      <c r="B441" t="s">
        <v>154</v>
      </c>
      <c r="C441" t="s">
        <v>22</v>
      </c>
      <c r="D441" t="s">
        <v>53</v>
      </c>
      <c r="E441" t="s">
        <v>143</v>
      </c>
      <c r="F441" s="1" t="s">
        <v>155</v>
      </c>
      <c r="G441" s="1" t="s">
        <v>156</v>
      </c>
      <c r="H441" s="1" t="s">
        <v>157</v>
      </c>
      <c r="I441">
        <v>33</v>
      </c>
      <c r="J441">
        <v>0</v>
      </c>
      <c r="K441">
        <v>4</v>
      </c>
      <c r="L441" s="11">
        <v>-0.121212</v>
      </c>
      <c r="M441" t="s">
        <v>597</v>
      </c>
      <c r="N441" s="12">
        <v>0</v>
      </c>
      <c r="O441" s="12">
        <v>3</v>
      </c>
      <c r="P441" s="12">
        <v>3</v>
      </c>
      <c r="Q441" s="12">
        <v>0</v>
      </c>
      <c r="R441" s="12">
        <v>3</v>
      </c>
      <c r="S441" s="12">
        <v>3</v>
      </c>
      <c r="T441" s="1" t="s">
        <v>595</v>
      </c>
      <c r="U441" s="1" t="s">
        <v>596</v>
      </c>
      <c r="V441">
        <v>20260719</v>
      </c>
      <c r="W441">
        <v>46222.653275462966</v>
      </c>
    </row>
    <row r="442" spans="1:23" ht="45">
      <c r="A442" t="s">
        <v>508</v>
      </c>
      <c r="B442" t="s">
        <v>154</v>
      </c>
      <c r="C442" t="s">
        <v>22</v>
      </c>
      <c r="D442" t="s">
        <v>53</v>
      </c>
      <c r="E442" t="s">
        <v>143</v>
      </c>
      <c r="F442" s="1" t="s">
        <v>155</v>
      </c>
      <c r="G442" s="1" t="s">
        <v>156</v>
      </c>
      <c r="H442" s="1" t="s">
        <v>157</v>
      </c>
      <c r="I442">
        <v>33</v>
      </c>
      <c r="J442">
        <v>0</v>
      </c>
      <c r="K442">
        <v>4</v>
      </c>
      <c r="L442" s="11">
        <v>-0.121212</v>
      </c>
      <c r="M442" t="s">
        <v>598</v>
      </c>
      <c r="N442" s="12">
        <v>1</v>
      </c>
      <c r="O442" s="12">
        <v>3</v>
      </c>
      <c r="P442" s="12">
        <v>3</v>
      </c>
      <c r="Q442" s="12">
        <v>0</v>
      </c>
      <c r="R442" s="12">
        <v>3</v>
      </c>
      <c r="S442" s="12">
        <v>3</v>
      </c>
      <c r="T442" s="1" t="s">
        <v>595</v>
      </c>
      <c r="U442" s="1" t="s">
        <v>596</v>
      </c>
      <c r="V442">
        <v>20260719</v>
      </c>
      <c r="W442">
        <v>46222.653275462966</v>
      </c>
    </row>
    <row r="443" spans="1:23" ht="45">
      <c r="A443" t="s">
        <v>509</v>
      </c>
      <c r="B443" t="s">
        <v>160</v>
      </c>
      <c r="C443" t="s">
        <v>22</v>
      </c>
      <c r="D443" t="s">
        <v>53</v>
      </c>
      <c r="E443" t="s">
        <v>143</v>
      </c>
      <c r="F443" s="1" t="s">
        <v>161</v>
      </c>
      <c r="G443" s="1" t="s">
        <v>162</v>
      </c>
      <c r="H443" s="1" t="s">
        <v>510</v>
      </c>
      <c r="I443">
        <v>34</v>
      </c>
      <c r="J443">
        <v>0</v>
      </c>
      <c r="K443">
        <v>4</v>
      </c>
      <c r="L443" s="11">
        <v>-0.117647</v>
      </c>
      <c r="M443" t="s">
        <v>594</v>
      </c>
      <c r="N443" s="12">
        <v>0</v>
      </c>
      <c r="O443" s="12">
        <v>2</v>
      </c>
      <c r="P443" s="12">
        <v>2</v>
      </c>
      <c r="Q443" s="12">
        <v>0</v>
      </c>
      <c r="R443" s="12">
        <v>2</v>
      </c>
      <c r="S443" s="12">
        <v>2</v>
      </c>
      <c r="T443" s="1" t="s">
        <v>595</v>
      </c>
      <c r="U443" s="1" t="s">
        <v>596</v>
      </c>
      <c r="V443">
        <v>20260719</v>
      </c>
      <c r="W443">
        <v>46222.653275462966</v>
      </c>
    </row>
    <row r="444" spans="1:23" ht="45">
      <c r="A444" t="s">
        <v>509</v>
      </c>
      <c r="B444" t="s">
        <v>160</v>
      </c>
      <c r="C444" t="s">
        <v>22</v>
      </c>
      <c r="D444" t="s">
        <v>53</v>
      </c>
      <c r="E444" t="s">
        <v>143</v>
      </c>
      <c r="F444" s="1" t="s">
        <v>161</v>
      </c>
      <c r="G444" s="1" t="s">
        <v>162</v>
      </c>
      <c r="H444" s="1" t="s">
        <v>510</v>
      </c>
      <c r="I444">
        <v>34</v>
      </c>
      <c r="J444">
        <v>0</v>
      </c>
      <c r="K444">
        <v>4</v>
      </c>
      <c r="L444" s="11">
        <v>-0.117647</v>
      </c>
      <c r="M444" t="s">
        <v>597</v>
      </c>
      <c r="N444" s="12">
        <v>0</v>
      </c>
      <c r="O444" s="12">
        <v>2</v>
      </c>
      <c r="P444" s="12">
        <v>2</v>
      </c>
      <c r="Q444" s="12">
        <v>0</v>
      </c>
      <c r="R444" s="12">
        <v>2</v>
      </c>
      <c r="S444" s="12">
        <v>2</v>
      </c>
      <c r="T444" s="1" t="s">
        <v>595</v>
      </c>
      <c r="U444" s="1" t="s">
        <v>596</v>
      </c>
      <c r="V444">
        <v>20260719</v>
      </c>
      <c r="W444">
        <v>46222.653275462966</v>
      </c>
    </row>
    <row r="445" spans="1:23" ht="45">
      <c r="A445" t="s">
        <v>509</v>
      </c>
      <c r="B445" t="s">
        <v>160</v>
      </c>
      <c r="C445" t="s">
        <v>22</v>
      </c>
      <c r="D445" t="s">
        <v>53</v>
      </c>
      <c r="E445" t="s">
        <v>143</v>
      </c>
      <c r="F445" s="1" t="s">
        <v>161</v>
      </c>
      <c r="G445" s="1" t="s">
        <v>162</v>
      </c>
      <c r="H445" s="1" t="s">
        <v>510</v>
      </c>
      <c r="I445">
        <v>34</v>
      </c>
      <c r="J445">
        <v>0</v>
      </c>
      <c r="K445">
        <v>4</v>
      </c>
      <c r="L445" s="11">
        <v>-0.117647</v>
      </c>
      <c r="M445" t="s">
        <v>598</v>
      </c>
      <c r="N445" s="12">
        <v>0</v>
      </c>
      <c r="O445" s="12">
        <v>2</v>
      </c>
      <c r="P445" s="12">
        <v>1</v>
      </c>
      <c r="Q445" s="12">
        <v>0</v>
      </c>
      <c r="R445" s="12">
        <v>1</v>
      </c>
      <c r="S445" s="12">
        <v>2</v>
      </c>
      <c r="T445" s="1" t="s">
        <v>595</v>
      </c>
      <c r="U445" s="1" t="s">
        <v>596</v>
      </c>
      <c r="V445">
        <v>20260719</v>
      </c>
      <c r="W445">
        <v>46222.653275462966</v>
      </c>
    </row>
    <row r="446" spans="1:23" ht="45">
      <c r="A446" t="s">
        <v>511</v>
      </c>
      <c r="B446" t="s">
        <v>165</v>
      </c>
      <c r="C446" t="s">
        <v>22</v>
      </c>
      <c r="D446" t="s">
        <v>53</v>
      </c>
      <c r="E446" t="s">
        <v>166</v>
      </c>
      <c r="F446" s="1" t="s">
        <v>167</v>
      </c>
      <c r="G446" s="1" t="s">
        <v>168</v>
      </c>
      <c r="H446" s="1" t="s">
        <v>512</v>
      </c>
      <c r="I446">
        <v>36</v>
      </c>
      <c r="J446">
        <v>0</v>
      </c>
      <c r="K446">
        <v>4</v>
      </c>
      <c r="L446" s="11">
        <v>-0.111111</v>
      </c>
      <c r="M446" t="s">
        <v>594</v>
      </c>
      <c r="N446" s="12">
        <v>0</v>
      </c>
      <c r="O446" s="12">
        <v>3</v>
      </c>
      <c r="P446" s="12">
        <v>3</v>
      </c>
      <c r="Q446" s="12">
        <v>1</v>
      </c>
      <c r="R446" s="12">
        <v>2</v>
      </c>
      <c r="S446" s="12">
        <v>2</v>
      </c>
      <c r="T446" s="1" t="s">
        <v>595</v>
      </c>
      <c r="U446" s="1" t="s">
        <v>596</v>
      </c>
      <c r="V446">
        <v>20260719</v>
      </c>
      <c r="W446">
        <v>46222.653275462966</v>
      </c>
    </row>
    <row r="447" spans="1:23" ht="45">
      <c r="A447" t="s">
        <v>511</v>
      </c>
      <c r="B447" t="s">
        <v>165</v>
      </c>
      <c r="C447" t="s">
        <v>22</v>
      </c>
      <c r="D447" t="s">
        <v>53</v>
      </c>
      <c r="E447" t="s">
        <v>166</v>
      </c>
      <c r="F447" s="1" t="s">
        <v>167</v>
      </c>
      <c r="G447" s="1" t="s">
        <v>168</v>
      </c>
      <c r="H447" s="1" t="s">
        <v>512</v>
      </c>
      <c r="I447">
        <v>36</v>
      </c>
      <c r="J447">
        <v>0</v>
      </c>
      <c r="K447">
        <v>4</v>
      </c>
      <c r="L447" s="11">
        <v>-0.111111</v>
      </c>
      <c r="M447" t="s">
        <v>597</v>
      </c>
      <c r="N447" s="12">
        <v>0</v>
      </c>
      <c r="O447" s="12">
        <v>3</v>
      </c>
      <c r="P447" s="12">
        <v>3</v>
      </c>
      <c r="Q447" s="12">
        <v>0</v>
      </c>
      <c r="R447" s="12">
        <v>2</v>
      </c>
      <c r="S447" s="12">
        <v>2</v>
      </c>
      <c r="T447" s="1" t="s">
        <v>595</v>
      </c>
      <c r="U447" s="1" t="s">
        <v>596</v>
      </c>
      <c r="V447">
        <v>20260719</v>
      </c>
      <c r="W447">
        <v>46222.653275462966</v>
      </c>
    </row>
    <row r="448" spans="1:23" ht="45">
      <c r="A448" t="s">
        <v>511</v>
      </c>
      <c r="B448" t="s">
        <v>165</v>
      </c>
      <c r="C448" t="s">
        <v>22</v>
      </c>
      <c r="D448" t="s">
        <v>53</v>
      </c>
      <c r="E448" t="s">
        <v>166</v>
      </c>
      <c r="F448" s="1" t="s">
        <v>167</v>
      </c>
      <c r="G448" s="1" t="s">
        <v>168</v>
      </c>
      <c r="H448" s="1" t="s">
        <v>512</v>
      </c>
      <c r="I448">
        <v>36</v>
      </c>
      <c r="J448">
        <v>0</v>
      </c>
      <c r="K448">
        <v>4</v>
      </c>
      <c r="L448" s="11">
        <v>-0.111111</v>
      </c>
      <c r="M448" t="s">
        <v>598</v>
      </c>
      <c r="N448" s="12">
        <v>0</v>
      </c>
      <c r="O448" s="12">
        <v>3</v>
      </c>
      <c r="P448" s="12">
        <v>3</v>
      </c>
      <c r="Q448" s="12">
        <v>0</v>
      </c>
      <c r="R448" s="12">
        <v>3</v>
      </c>
      <c r="S448" s="12">
        <v>3</v>
      </c>
      <c r="T448" s="1" t="s">
        <v>595</v>
      </c>
      <c r="U448" s="1" t="s">
        <v>596</v>
      </c>
      <c r="V448">
        <v>20260719</v>
      </c>
      <c r="W448">
        <v>46222.653275462966</v>
      </c>
    </row>
    <row r="449" spans="1:23" ht="45">
      <c r="A449" t="s">
        <v>513</v>
      </c>
      <c r="B449" t="s">
        <v>171</v>
      </c>
      <c r="C449" t="s">
        <v>22</v>
      </c>
      <c r="D449" t="s">
        <v>53</v>
      </c>
      <c r="E449" t="s">
        <v>166</v>
      </c>
      <c r="F449" s="1" t="s">
        <v>172</v>
      </c>
      <c r="G449" s="1" t="s">
        <v>173</v>
      </c>
      <c r="H449" s="1" t="s">
        <v>514</v>
      </c>
      <c r="I449">
        <v>35</v>
      </c>
      <c r="J449">
        <v>0</v>
      </c>
      <c r="K449">
        <v>4</v>
      </c>
      <c r="L449" s="11">
        <v>-0.114286</v>
      </c>
      <c r="M449" t="s">
        <v>594</v>
      </c>
      <c r="N449" s="12">
        <v>1</v>
      </c>
      <c r="O449" s="12">
        <v>3</v>
      </c>
      <c r="P449" s="12">
        <v>3</v>
      </c>
      <c r="Q449" s="12">
        <v>1</v>
      </c>
      <c r="R449" s="12">
        <v>2</v>
      </c>
      <c r="S449" s="12">
        <v>3</v>
      </c>
      <c r="T449" s="1" t="s">
        <v>595</v>
      </c>
      <c r="U449" s="1" t="s">
        <v>596</v>
      </c>
      <c r="V449">
        <v>20260719</v>
      </c>
      <c r="W449">
        <v>46222.653275462966</v>
      </c>
    </row>
    <row r="450" spans="1:23" ht="45">
      <c r="A450" t="s">
        <v>513</v>
      </c>
      <c r="B450" t="s">
        <v>171</v>
      </c>
      <c r="C450" t="s">
        <v>22</v>
      </c>
      <c r="D450" t="s">
        <v>53</v>
      </c>
      <c r="E450" t="s">
        <v>166</v>
      </c>
      <c r="F450" s="1" t="s">
        <v>172</v>
      </c>
      <c r="G450" s="1" t="s">
        <v>173</v>
      </c>
      <c r="H450" s="1" t="s">
        <v>514</v>
      </c>
      <c r="I450">
        <v>35</v>
      </c>
      <c r="J450">
        <v>0</v>
      </c>
      <c r="K450">
        <v>4</v>
      </c>
      <c r="L450" s="11">
        <v>-0.114286</v>
      </c>
      <c r="M450" t="s">
        <v>597</v>
      </c>
      <c r="N450" s="12">
        <v>1</v>
      </c>
      <c r="O450" s="12">
        <v>3</v>
      </c>
      <c r="P450" s="12">
        <v>3</v>
      </c>
      <c r="Q450" s="12">
        <v>1</v>
      </c>
      <c r="R450" s="12">
        <v>2</v>
      </c>
      <c r="S450" s="12">
        <v>3</v>
      </c>
      <c r="T450" s="1" t="s">
        <v>595</v>
      </c>
      <c r="U450" s="1" t="s">
        <v>596</v>
      </c>
      <c r="V450">
        <v>20260719</v>
      </c>
      <c r="W450">
        <v>46222.653275462966</v>
      </c>
    </row>
    <row r="451" spans="1:23" ht="45">
      <c r="A451" t="s">
        <v>513</v>
      </c>
      <c r="B451" t="s">
        <v>171</v>
      </c>
      <c r="C451" t="s">
        <v>22</v>
      </c>
      <c r="D451" t="s">
        <v>53</v>
      </c>
      <c r="E451" t="s">
        <v>166</v>
      </c>
      <c r="F451" s="1" t="s">
        <v>172</v>
      </c>
      <c r="G451" s="1" t="s">
        <v>173</v>
      </c>
      <c r="H451" s="1" t="s">
        <v>514</v>
      </c>
      <c r="I451">
        <v>35</v>
      </c>
      <c r="J451">
        <v>0</v>
      </c>
      <c r="K451">
        <v>4</v>
      </c>
      <c r="L451" s="11">
        <v>-0.114286</v>
      </c>
      <c r="M451" t="s">
        <v>598</v>
      </c>
      <c r="N451" s="12">
        <v>1</v>
      </c>
      <c r="O451" s="12">
        <v>3</v>
      </c>
      <c r="P451" s="12">
        <v>3</v>
      </c>
      <c r="Q451" s="12">
        <v>1</v>
      </c>
      <c r="R451" s="12">
        <v>3</v>
      </c>
      <c r="S451" s="12">
        <v>3</v>
      </c>
      <c r="T451" s="1" t="s">
        <v>595</v>
      </c>
      <c r="U451" s="1" t="s">
        <v>596</v>
      </c>
      <c r="V451">
        <v>20260719</v>
      </c>
      <c r="W451">
        <v>46222.653275462966</v>
      </c>
    </row>
    <row r="452" spans="1:23" ht="45">
      <c r="A452" t="s">
        <v>515</v>
      </c>
      <c r="B452" t="s">
        <v>176</v>
      </c>
      <c r="C452" t="s">
        <v>22</v>
      </c>
      <c r="D452" t="s">
        <v>53</v>
      </c>
      <c r="E452" t="s">
        <v>166</v>
      </c>
      <c r="F452" s="1" t="s">
        <v>177</v>
      </c>
      <c r="G452" s="1" t="s">
        <v>178</v>
      </c>
      <c r="H452" s="1" t="s">
        <v>516</v>
      </c>
      <c r="I452">
        <v>34</v>
      </c>
      <c r="J452">
        <v>0</v>
      </c>
      <c r="K452">
        <v>3</v>
      </c>
      <c r="L452" s="11">
        <v>-8.8234999999999994E-2</v>
      </c>
      <c r="M452" t="s">
        <v>594</v>
      </c>
      <c r="N452" s="12">
        <v>0</v>
      </c>
      <c r="O452" s="12">
        <v>3</v>
      </c>
      <c r="P452" s="12">
        <v>3</v>
      </c>
      <c r="Q452" s="12">
        <v>0</v>
      </c>
      <c r="R452" s="12">
        <v>3</v>
      </c>
      <c r="S452" s="12">
        <v>3</v>
      </c>
      <c r="T452" s="1" t="s">
        <v>595</v>
      </c>
      <c r="U452" s="1" t="s">
        <v>596</v>
      </c>
      <c r="V452">
        <v>20260719</v>
      </c>
      <c r="W452">
        <v>46222.653275462966</v>
      </c>
    </row>
    <row r="453" spans="1:23" ht="45">
      <c r="A453" t="s">
        <v>515</v>
      </c>
      <c r="B453" t="s">
        <v>176</v>
      </c>
      <c r="C453" t="s">
        <v>22</v>
      </c>
      <c r="D453" t="s">
        <v>53</v>
      </c>
      <c r="E453" t="s">
        <v>166</v>
      </c>
      <c r="F453" s="1" t="s">
        <v>177</v>
      </c>
      <c r="G453" s="1" t="s">
        <v>178</v>
      </c>
      <c r="H453" s="1" t="s">
        <v>516</v>
      </c>
      <c r="I453">
        <v>34</v>
      </c>
      <c r="J453">
        <v>0</v>
      </c>
      <c r="K453">
        <v>3</v>
      </c>
      <c r="L453" s="11">
        <v>-8.8234999999999994E-2</v>
      </c>
      <c r="M453" t="s">
        <v>597</v>
      </c>
      <c r="N453" s="12">
        <v>0</v>
      </c>
      <c r="O453" s="12">
        <v>3</v>
      </c>
      <c r="P453" s="12">
        <v>3</v>
      </c>
      <c r="Q453" s="12">
        <v>0</v>
      </c>
      <c r="R453" s="12">
        <v>3</v>
      </c>
      <c r="S453" s="12">
        <v>3</v>
      </c>
      <c r="T453" s="1" t="s">
        <v>595</v>
      </c>
      <c r="U453" s="1" t="s">
        <v>596</v>
      </c>
      <c r="V453">
        <v>20260719</v>
      </c>
      <c r="W453">
        <v>46222.653275462966</v>
      </c>
    </row>
    <row r="454" spans="1:23" ht="45">
      <c r="A454" t="s">
        <v>515</v>
      </c>
      <c r="B454" t="s">
        <v>176</v>
      </c>
      <c r="C454" t="s">
        <v>22</v>
      </c>
      <c r="D454" t="s">
        <v>53</v>
      </c>
      <c r="E454" t="s">
        <v>166</v>
      </c>
      <c r="F454" s="1" t="s">
        <v>177</v>
      </c>
      <c r="G454" s="1" t="s">
        <v>178</v>
      </c>
      <c r="H454" s="1" t="s">
        <v>516</v>
      </c>
      <c r="I454">
        <v>34</v>
      </c>
      <c r="J454">
        <v>0</v>
      </c>
      <c r="K454">
        <v>3</v>
      </c>
      <c r="L454" s="11">
        <v>-8.8234999999999994E-2</v>
      </c>
      <c r="M454" t="s">
        <v>598</v>
      </c>
      <c r="N454" s="12">
        <v>0</v>
      </c>
      <c r="O454" s="12">
        <v>3</v>
      </c>
      <c r="P454" s="12">
        <v>3</v>
      </c>
      <c r="Q454" s="12">
        <v>0</v>
      </c>
      <c r="R454" s="12">
        <v>3</v>
      </c>
      <c r="S454" s="12">
        <v>3</v>
      </c>
      <c r="T454" s="1" t="s">
        <v>595</v>
      </c>
      <c r="U454" s="1" t="s">
        <v>596</v>
      </c>
      <c r="V454">
        <v>20260719</v>
      </c>
      <c r="W454">
        <v>46222.653275462966</v>
      </c>
    </row>
    <row r="455" spans="1:23" ht="45">
      <c r="A455" t="s">
        <v>517</v>
      </c>
      <c r="B455" t="s">
        <v>181</v>
      </c>
      <c r="C455" t="s">
        <v>22</v>
      </c>
      <c r="D455" t="s">
        <v>53</v>
      </c>
      <c r="E455" t="s">
        <v>166</v>
      </c>
      <c r="F455" s="1" t="s">
        <v>182</v>
      </c>
      <c r="G455" s="1" t="s">
        <v>183</v>
      </c>
      <c r="H455" s="1" t="s">
        <v>184</v>
      </c>
      <c r="I455">
        <v>32</v>
      </c>
      <c r="J455">
        <v>0</v>
      </c>
      <c r="K455">
        <v>4</v>
      </c>
      <c r="L455" s="11">
        <v>-0.125</v>
      </c>
      <c r="M455" t="s">
        <v>594</v>
      </c>
      <c r="N455" s="12">
        <v>0</v>
      </c>
      <c r="O455" s="12">
        <v>3</v>
      </c>
      <c r="P455" s="12">
        <v>3</v>
      </c>
      <c r="Q455" s="12">
        <v>1</v>
      </c>
      <c r="R455" s="12">
        <v>2</v>
      </c>
      <c r="S455" s="12">
        <v>3</v>
      </c>
      <c r="T455" s="1" t="s">
        <v>595</v>
      </c>
      <c r="U455" s="1" t="s">
        <v>596</v>
      </c>
      <c r="V455">
        <v>20260719</v>
      </c>
      <c r="W455">
        <v>46222.653275462966</v>
      </c>
    </row>
    <row r="456" spans="1:23" ht="45">
      <c r="A456" t="s">
        <v>517</v>
      </c>
      <c r="B456" t="s">
        <v>181</v>
      </c>
      <c r="C456" t="s">
        <v>22</v>
      </c>
      <c r="D456" t="s">
        <v>53</v>
      </c>
      <c r="E456" t="s">
        <v>166</v>
      </c>
      <c r="F456" s="1" t="s">
        <v>182</v>
      </c>
      <c r="G456" s="1" t="s">
        <v>183</v>
      </c>
      <c r="H456" s="1" t="s">
        <v>184</v>
      </c>
      <c r="I456">
        <v>32</v>
      </c>
      <c r="J456">
        <v>0</v>
      </c>
      <c r="K456">
        <v>4</v>
      </c>
      <c r="L456" s="11">
        <v>-0.125</v>
      </c>
      <c r="M456" t="s">
        <v>597</v>
      </c>
      <c r="N456" s="12">
        <v>0</v>
      </c>
      <c r="O456" s="12">
        <v>3</v>
      </c>
      <c r="P456" s="12">
        <v>3</v>
      </c>
      <c r="Q456" s="12">
        <v>1</v>
      </c>
      <c r="R456" s="12">
        <v>3</v>
      </c>
      <c r="S456" s="12">
        <v>3</v>
      </c>
      <c r="T456" s="1" t="s">
        <v>595</v>
      </c>
      <c r="U456" s="1" t="s">
        <v>596</v>
      </c>
      <c r="V456">
        <v>20260719</v>
      </c>
      <c r="W456">
        <v>46222.653275462966</v>
      </c>
    </row>
    <row r="457" spans="1:23" ht="45">
      <c r="A457" t="s">
        <v>517</v>
      </c>
      <c r="B457" t="s">
        <v>181</v>
      </c>
      <c r="C457" t="s">
        <v>22</v>
      </c>
      <c r="D457" t="s">
        <v>53</v>
      </c>
      <c r="E457" t="s">
        <v>166</v>
      </c>
      <c r="F457" s="1" t="s">
        <v>182</v>
      </c>
      <c r="G457" s="1" t="s">
        <v>183</v>
      </c>
      <c r="H457" s="1" t="s">
        <v>184</v>
      </c>
      <c r="I457">
        <v>32</v>
      </c>
      <c r="J457">
        <v>0</v>
      </c>
      <c r="K457">
        <v>4</v>
      </c>
      <c r="L457" s="11">
        <v>-0.125</v>
      </c>
      <c r="M457" t="s">
        <v>598</v>
      </c>
      <c r="N457" s="12">
        <v>0</v>
      </c>
      <c r="O457" s="12">
        <v>3</v>
      </c>
      <c r="P457" s="12">
        <v>3</v>
      </c>
      <c r="Q457" s="12">
        <v>1</v>
      </c>
      <c r="R457" s="12">
        <v>3</v>
      </c>
      <c r="S457" s="12">
        <v>3</v>
      </c>
      <c r="T457" s="1" t="s">
        <v>595</v>
      </c>
      <c r="U457" s="1" t="s">
        <v>596</v>
      </c>
      <c r="V457">
        <v>20260719</v>
      </c>
      <c r="W457">
        <v>46222.653275462966</v>
      </c>
    </row>
    <row r="458" spans="1:23" ht="30">
      <c r="A458" t="s">
        <v>518</v>
      </c>
      <c r="B458" t="s">
        <v>186</v>
      </c>
      <c r="C458" t="s">
        <v>22</v>
      </c>
      <c r="D458" t="s">
        <v>53</v>
      </c>
      <c r="E458" t="s">
        <v>187</v>
      </c>
      <c r="F458" s="1" t="s">
        <v>188</v>
      </c>
      <c r="G458" s="1" t="s">
        <v>189</v>
      </c>
      <c r="H458" s="1" t="s">
        <v>190</v>
      </c>
      <c r="I458">
        <v>35</v>
      </c>
      <c r="J458">
        <v>0</v>
      </c>
      <c r="K458">
        <v>3</v>
      </c>
      <c r="L458" s="11">
        <v>-8.5713999999999999E-2</v>
      </c>
      <c r="M458" t="s">
        <v>594</v>
      </c>
      <c r="N458" s="12">
        <v>0</v>
      </c>
      <c r="O458" s="12">
        <v>2</v>
      </c>
      <c r="P458" s="12">
        <v>3</v>
      </c>
      <c r="Q458" s="12">
        <v>0</v>
      </c>
      <c r="R458" s="12">
        <v>3</v>
      </c>
      <c r="S458" s="12">
        <v>2</v>
      </c>
      <c r="T458" s="1" t="s">
        <v>595</v>
      </c>
      <c r="U458" s="1" t="s">
        <v>596</v>
      </c>
      <c r="V458">
        <v>20260719</v>
      </c>
      <c r="W458">
        <v>46222.653275462966</v>
      </c>
    </row>
    <row r="459" spans="1:23" ht="30">
      <c r="A459" t="s">
        <v>518</v>
      </c>
      <c r="B459" t="s">
        <v>186</v>
      </c>
      <c r="C459" t="s">
        <v>22</v>
      </c>
      <c r="D459" t="s">
        <v>53</v>
      </c>
      <c r="E459" t="s">
        <v>187</v>
      </c>
      <c r="F459" s="1" t="s">
        <v>188</v>
      </c>
      <c r="G459" s="1" t="s">
        <v>189</v>
      </c>
      <c r="H459" s="1" t="s">
        <v>190</v>
      </c>
      <c r="I459">
        <v>35</v>
      </c>
      <c r="J459">
        <v>0</v>
      </c>
      <c r="K459">
        <v>3</v>
      </c>
      <c r="L459" s="11">
        <v>-8.5713999999999999E-2</v>
      </c>
      <c r="M459" t="s">
        <v>597</v>
      </c>
      <c r="N459" s="12">
        <v>0</v>
      </c>
      <c r="O459" s="12">
        <v>3</v>
      </c>
      <c r="P459" s="12">
        <v>3</v>
      </c>
      <c r="Q459" s="12">
        <v>0</v>
      </c>
      <c r="R459" s="12">
        <v>3</v>
      </c>
      <c r="S459" s="12">
        <v>2</v>
      </c>
      <c r="T459" s="1" t="s">
        <v>595</v>
      </c>
      <c r="U459" s="1" t="s">
        <v>596</v>
      </c>
      <c r="V459">
        <v>20260719</v>
      </c>
      <c r="W459">
        <v>46222.653275462966</v>
      </c>
    </row>
    <row r="460" spans="1:23" ht="30">
      <c r="A460" t="s">
        <v>518</v>
      </c>
      <c r="B460" t="s">
        <v>186</v>
      </c>
      <c r="C460" t="s">
        <v>22</v>
      </c>
      <c r="D460" t="s">
        <v>53</v>
      </c>
      <c r="E460" t="s">
        <v>187</v>
      </c>
      <c r="F460" s="1" t="s">
        <v>188</v>
      </c>
      <c r="G460" s="1" t="s">
        <v>189</v>
      </c>
      <c r="H460" s="1" t="s">
        <v>190</v>
      </c>
      <c r="I460">
        <v>35</v>
      </c>
      <c r="J460">
        <v>0</v>
      </c>
      <c r="K460">
        <v>3</v>
      </c>
      <c r="L460" s="11">
        <v>-8.5713999999999999E-2</v>
      </c>
      <c r="M460" t="s">
        <v>598</v>
      </c>
      <c r="N460" s="12">
        <v>0</v>
      </c>
      <c r="O460" s="12">
        <v>3</v>
      </c>
      <c r="P460" s="12">
        <v>3</v>
      </c>
      <c r="Q460" s="12">
        <v>0</v>
      </c>
      <c r="R460" s="12">
        <v>3</v>
      </c>
      <c r="S460" s="12">
        <v>2</v>
      </c>
      <c r="T460" s="1" t="s">
        <v>595</v>
      </c>
      <c r="U460" s="1" t="s">
        <v>596</v>
      </c>
      <c r="V460">
        <v>20260719</v>
      </c>
      <c r="W460">
        <v>46222.653275462966</v>
      </c>
    </row>
    <row r="461" spans="1:23" ht="30">
      <c r="A461" t="s">
        <v>519</v>
      </c>
      <c r="B461" t="s">
        <v>192</v>
      </c>
      <c r="C461" t="s">
        <v>22</v>
      </c>
      <c r="D461" t="s">
        <v>53</v>
      </c>
      <c r="E461" t="s">
        <v>187</v>
      </c>
      <c r="F461" s="1" t="s">
        <v>193</v>
      </c>
      <c r="G461" s="1" t="s">
        <v>194</v>
      </c>
      <c r="H461" s="1" t="s">
        <v>195</v>
      </c>
      <c r="I461">
        <v>27</v>
      </c>
      <c r="J461">
        <v>0</v>
      </c>
      <c r="K461">
        <v>3</v>
      </c>
      <c r="L461" s="11">
        <v>-0.111111</v>
      </c>
      <c r="M461" t="s">
        <v>594</v>
      </c>
      <c r="N461" s="12">
        <v>0</v>
      </c>
      <c r="O461" s="12">
        <v>3</v>
      </c>
      <c r="P461" s="12">
        <v>3</v>
      </c>
      <c r="Q461" s="12">
        <v>0</v>
      </c>
      <c r="R461" s="12">
        <v>2</v>
      </c>
      <c r="S461" s="12">
        <v>3</v>
      </c>
      <c r="T461" s="1" t="s">
        <v>595</v>
      </c>
      <c r="U461" s="1" t="s">
        <v>596</v>
      </c>
      <c r="V461">
        <v>20260719</v>
      </c>
      <c r="W461">
        <v>46222.653275462966</v>
      </c>
    </row>
    <row r="462" spans="1:23" ht="30">
      <c r="A462" t="s">
        <v>519</v>
      </c>
      <c r="B462" t="s">
        <v>192</v>
      </c>
      <c r="C462" t="s">
        <v>22</v>
      </c>
      <c r="D462" t="s">
        <v>53</v>
      </c>
      <c r="E462" t="s">
        <v>187</v>
      </c>
      <c r="F462" s="1" t="s">
        <v>193</v>
      </c>
      <c r="G462" s="1" t="s">
        <v>194</v>
      </c>
      <c r="H462" s="1" t="s">
        <v>195</v>
      </c>
      <c r="I462">
        <v>27</v>
      </c>
      <c r="J462">
        <v>0</v>
      </c>
      <c r="K462">
        <v>3</v>
      </c>
      <c r="L462" s="11">
        <v>-0.111111</v>
      </c>
      <c r="M462" t="s">
        <v>597</v>
      </c>
      <c r="N462" s="12">
        <v>0</v>
      </c>
      <c r="O462" s="12">
        <v>3</v>
      </c>
      <c r="P462" s="12">
        <v>3</v>
      </c>
      <c r="Q462" s="12">
        <v>0</v>
      </c>
      <c r="R462" s="12">
        <v>2</v>
      </c>
      <c r="S462" s="12">
        <v>3</v>
      </c>
      <c r="T462" s="1" t="s">
        <v>595</v>
      </c>
      <c r="U462" s="1" t="s">
        <v>596</v>
      </c>
      <c r="V462">
        <v>20260719</v>
      </c>
      <c r="W462">
        <v>46222.653275462966</v>
      </c>
    </row>
    <row r="463" spans="1:23" ht="30">
      <c r="A463" t="s">
        <v>519</v>
      </c>
      <c r="B463" t="s">
        <v>192</v>
      </c>
      <c r="C463" t="s">
        <v>22</v>
      </c>
      <c r="D463" t="s">
        <v>53</v>
      </c>
      <c r="E463" t="s">
        <v>187</v>
      </c>
      <c r="F463" s="1" t="s">
        <v>193</v>
      </c>
      <c r="G463" s="1" t="s">
        <v>194</v>
      </c>
      <c r="H463" s="1" t="s">
        <v>195</v>
      </c>
      <c r="I463">
        <v>27</v>
      </c>
      <c r="J463">
        <v>0</v>
      </c>
      <c r="K463">
        <v>3</v>
      </c>
      <c r="L463" s="11">
        <v>-0.111111</v>
      </c>
      <c r="M463" t="s">
        <v>598</v>
      </c>
      <c r="N463" s="12">
        <v>0</v>
      </c>
      <c r="O463" s="12">
        <v>3</v>
      </c>
      <c r="P463" s="12">
        <v>3</v>
      </c>
      <c r="Q463" s="12">
        <v>0</v>
      </c>
      <c r="R463" s="12">
        <v>2</v>
      </c>
      <c r="S463" s="12">
        <v>3</v>
      </c>
      <c r="T463" s="1" t="s">
        <v>595</v>
      </c>
      <c r="U463" s="1" t="s">
        <v>596</v>
      </c>
      <c r="V463">
        <v>20260719</v>
      </c>
      <c r="W463">
        <v>46222.653275462966</v>
      </c>
    </row>
    <row r="464" spans="1:23" ht="45">
      <c r="A464" t="s">
        <v>520</v>
      </c>
      <c r="B464" t="s">
        <v>197</v>
      </c>
      <c r="C464" t="s">
        <v>22</v>
      </c>
      <c r="D464" t="s">
        <v>53</v>
      </c>
      <c r="E464" t="s">
        <v>187</v>
      </c>
      <c r="F464" s="1" t="s">
        <v>198</v>
      </c>
      <c r="G464" s="1" t="s">
        <v>199</v>
      </c>
      <c r="H464" s="1" t="s">
        <v>200</v>
      </c>
      <c r="I464">
        <v>34</v>
      </c>
      <c r="J464">
        <v>0</v>
      </c>
      <c r="K464">
        <v>3</v>
      </c>
      <c r="L464" s="11">
        <v>-8.8234999999999994E-2</v>
      </c>
      <c r="M464" t="s">
        <v>594</v>
      </c>
      <c r="N464" s="12">
        <v>1</v>
      </c>
      <c r="O464" s="12">
        <v>2</v>
      </c>
      <c r="P464" s="12">
        <v>3</v>
      </c>
      <c r="Q464" s="12">
        <v>0</v>
      </c>
      <c r="R464" s="12">
        <v>2</v>
      </c>
      <c r="S464" s="12">
        <v>2</v>
      </c>
      <c r="T464" s="1" t="s">
        <v>595</v>
      </c>
      <c r="U464" s="1" t="s">
        <v>596</v>
      </c>
      <c r="V464">
        <v>20260719</v>
      </c>
      <c r="W464">
        <v>46222.653275462966</v>
      </c>
    </row>
    <row r="465" spans="1:23" ht="45">
      <c r="A465" t="s">
        <v>520</v>
      </c>
      <c r="B465" t="s">
        <v>197</v>
      </c>
      <c r="C465" t="s">
        <v>22</v>
      </c>
      <c r="D465" t="s">
        <v>53</v>
      </c>
      <c r="E465" t="s">
        <v>187</v>
      </c>
      <c r="F465" s="1" t="s">
        <v>198</v>
      </c>
      <c r="G465" s="1" t="s">
        <v>199</v>
      </c>
      <c r="H465" s="1" t="s">
        <v>200</v>
      </c>
      <c r="I465">
        <v>34</v>
      </c>
      <c r="J465">
        <v>0</v>
      </c>
      <c r="K465">
        <v>3</v>
      </c>
      <c r="L465" s="11">
        <v>-8.8234999999999994E-2</v>
      </c>
      <c r="M465" t="s">
        <v>597</v>
      </c>
      <c r="N465" s="12">
        <v>1</v>
      </c>
      <c r="O465" s="12">
        <v>3</v>
      </c>
      <c r="P465" s="12">
        <v>3</v>
      </c>
      <c r="Q465" s="12">
        <v>1</v>
      </c>
      <c r="R465" s="12">
        <v>2</v>
      </c>
      <c r="S465" s="12">
        <v>2</v>
      </c>
      <c r="T465" s="1" t="s">
        <v>595</v>
      </c>
      <c r="U465" s="1" t="s">
        <v>596</v>
      </c>
      <c r="V465">
        <v>20260719</v>
      </c>
      <c r="W465">
        <v>46222.653275462966</v>
      </c>
    </row>
    <row r="466" spans="1:23" ht="45">
      <c r="A466" t="s">
        <v>520</v>
      </c>
      <c r="B466" t="s">
        <v>197</v>
      </c>
      <c r="C466" t="s">
        <v>22</v>
      </c>
      <c r="D466" t="s">
        <v>53</v>
      </c>
      <c r="E466" t="s">
        <v>187</v>
      </c>
      <c r="F466" s="1" t="s">
        <v>198</v>
      </c>
      <c r="G466" s="1" t="s">
        <v>199</v>
      </c>
      <c r="H466" s="1" t="s">
        <v>200</v>
      </c>
      <c r="I466">
        <v>34</v>
      </c>
      <c r="J466">
        <v>0</v>
      </c>
      <c r="K466">
        <v>3</v>
      </c>
      <c r="L466" s="11">
        <v>-8.8234999999999994E-2</v>
      </c>
      <c r="M466" t="s">
        <v>598</v>
      </c>
      <c r="N466" s="12">
        <v>0</v>
      </c>
      <c r="O466" s="12">
        <v>3</v>
      </c>
      <c r="P466" s="12">
        <v>3</v>
      </c>
      <c r="Q466" s="12">
        <v>1</v>
      </c>
      <c r="R466" s="12">
        <v>2</v>
      </c>
      <c r="S466" s="12">
        <v>2</v>
      </c>
      <c r="T466" s="1" t="s">
        <v>595</v>
      </c>
      <c r="U466" s="1" t="s">
        <v>596</v>
      </c>
      <c r="V466">
        <v>20260719</v>
      </c>
      <c r="W466">
        <v>46222.653275462966</v>
      </c>
    </row>
    <row r="467" spans="1:23" ht="45">
      <c r="A467" t="s">
        <v>521</v>
      </c>
      <c r="B467" t="s">
        <v>202</v>
      </c>
      <c r="C467" t="s">
        <v>22</v>
      </c>
      <c r="D467" t="s">
        <v>53</v>
      </c>
      <c r="E467" t="s">
        <v>187</v>
      </c>
      <c r="F467" s="1" t="s">
        <v>203</v>
      </c>
      <c r="G467" s="1" t="s">
        <v>204</v>
      </c>
      <c r="H467" s="1" t="s">
        <v>205</v>
      </c>
      <c r="I467">
        <v>32</v>
      </c>
      <c r="J467">
        <v>0</v>
      </c>
      <c r="K467">
        <v>3</v>
      </c>
      <c r="L467" s="11">
        <v>-9.375E-2</v>
      </c>
      <c r="M467" t="s">
        <v>594</v>
      </c>
      <c r="N467" s="12">
        <v>2</v>
      </c>
      <c r="O467" s="12">
        <v>3</v>
      </c>
      <c r="P467" s="12">
        <v>3</v>
      </c>
      <c r="Q467" s="12">
        <v>1</v>
      </c>
      <c r="R467" s="12">
        <v>2</v>
      </c>
      <c r="S467" s="12">
        <v>3</v>
      </c>
      <c r="T467" s="1" t="s">
        <v>595</v>
      </c>
      <c r="U467" s="1" t="s">
        <v>596</v>
      </c>
      <c r="V467">
        <v>20260719</v>
      </c>
      <c r="W467">
        <v>46222.653275462966</v>
      </c>
    </row>
    <row r="468" spans="1:23" ht="45">
      <c r="A468" t="s">
        <v>521</v>
      </c>
      <c r="B468" t="s">
        <v>202</v>
      </c>
      <c r="C468" t="s">
        <v>22</v>
      </c>
      <c r="D468" t="s">
        <v>53</v>
      </c>
      <c r="E468" t="s">
        <v>187</v>
      </c>
      <c r="F468" s="1" t="s">
        <v>203</v>
      </c>
      <c r="G468" s="1" t="s">
        <v>204</v>
      </c>
      <c r="H468" s="1" t="s">
        <v>205</v>
      </c>
      <c r="I468">
        <v>32</v>
      </c>
      <c r="J468">
        <v>0</v>
      </c>
      <c r="K468">
        <v>3</v>
      </c>
      <c r="L468" s="11">
        <v>-9.375E-2</v>
      </c>
      <c r="M468" t="s">
        <v>597</v>
      </c>
      <c r="N468" s="12">
        <v>1</v>
      </c>
      <c r="O468" s="12">
        <v>3</v>
      </c>
      <c r="P468" s="12">
        <v>3</v>
      </c>
      <c r="Q468" s="12">
        <v>1</v>
      </c>
      <c r="R468" s="12">
        <v>2</v>
      </c>
      <c r="S468" s="12">
        <v>3</v>
      </c>
      <c r="T468" s="1" t="s">
        <v>595</v>
      </c>
      <c r="U468" s="1" t="s">
        <v>596</v>
      </c>
      <c r="V468">
        <v>20260719</v>
      </c>
      <c r="W468">
        <v>46222.653275462966</v>
      </c>
    </row>
    <row r="469" spans="1:23" ht="45">
      <c r="A469" t="s">
        <v>521</v>
      </c>
      <c r="B469" t="s">
        <v>202</v>
      </c>
      <c r="C469" t="s">
        <v>22</v>
      </c>
      <c r="D469" t="s">
        <v>53</v>
      </c>
      <c r="E469" t="s">
        <v>187</v>
      </c>
      <c r="F469" s="1" t="s">
        <v>203</v>
      </c>
      <c r="G469" s="1" t="s">
        <v>204</v>
      </c>
      <c r="H469" s="1" t="s">
        <v>205</v>
      </c>
      <c r="I469">
        <v>32</v>
      </c>
      <c r="J469">
        <v>0</v>
      </c>
      <c r="K469">
        <v>3</v>
      </c>
      <c r="L469" s="11">
        <v>-9.375E-2</v>
      </c>
      <c r="M469" t="s">
        <v>598</v>
      </c>
      <c r="N469" s="12">
        <v>1</v>
      </c>
      <c r="O469" s="12">
        <v>3</v>
      </c>
      <c r="P469" s="12">
        <v>3</v>
      </c>
      <c r="Q469" s="12">
        <v>1</v>
      </c>
      <c r="R469" s="12">
        <v>2</v>
      </c>
      <c r="S469" s="12">
        <v>3</v>
      </c>
      <c r="T469" s="1" t="s">
        <v>595</v>
      </c>
      <c r="U469" s="1" t="s">
        <v>596</v>
      </c>
      <c r="V469">
        <v>20260719</v>
      </c>
      <c r="W469">
        <v>46222.653275462966</v>
      </c>
    </row>
    <row r="470" spans="1:23" ht="45">
      <c r="A470" t="s">
        <v>522</v>
      </c>
      <c r="B470" t="s">
        <v>207</v>
      </c>
      <c r="C470" t="s">
        <v>22</v>
      </c>
      <c r="D470" t="s">
        <v>53</v>
      </c>
      <c r="E470" t="s">
        <v>208</v>
      </c>
      <c r="F470" s="1" t="s">
        <v>209</v>
      </c>
      <c r="G470" s="1" t="s">
        <v>210</v>
      </c>
      <c r="H470" s="1" t="s">
        <v>211</v>
      </c>
      <c r="I470">
        <v>33</v>
      </c>
      <c r="J470">
        <v>0</v>
      </c>
      <c r="K470">
        <v>3</v>
      </c>
      <c r="L470" s="11">
        <v>-9.0909000000000004E-2</v>
      </c>
      <c r="M470" t="s">
        <v>594</v>
      </c>
      <c r="N470" s="12">
        <v>1</v>
      </c>
      <c r="O470" s="12">
        <v>2</v>
      </c>
      <c r="P470" s="12">
        <v>2</v>
      </c>
      <c r="Q470" s="12">
        <v>1</v>
      </c>
      <c r="R470" s="12">
        <v>2</v>
      </c>
      <c r="S470" s="12">
        <v>2</v>
      </c>
      <c r="T470" s="1" t="s">
        <v>595</v>
      </c>
      <c r="U470" s="1" t="s">
        <v>596</v>
      </c>
      <c r="V470">
        <v>20260719</v>
      </c>
      <c r="W470">
        <v>46222.653275462966</v>
      </c>
    </row>
    <row r="471" spans="1:23" ht="45">
      <c r="A471" t="s">
        <v>522</v>
      </c>
      <c r="B471" t="s">
        <v>207</v>
      </c>
      <c r="C471" t="s">
        <v>22</v>
      </c>
      <c r="D471" t="s">
        <v>53</v>
      </c>
      <c r="E471" t="s">
        <v>208</v>
      </c>
      <c r="F471" s="1" t="s">
        <v>209</v>
      </c>
      <c r="G471" s="1" t="s">
        <v>210</v>
      </c>
      <c r="H471" s="1" t="s">
        <v>211</v>
      </c>
      <c r="I471">
        <v>33</v>
      </c>
      <c r="J471">
        <v>0</v>
      </c>
      <c r="K471">
        <v>3</v>
      </c>
      <c r="L471" s="11">
        <v>-9.0909000000000004E-2</v>
      </c>
      <c r="M471" t="s">
        <v>597</v>
      </c>
      <c r="N471" s="12">
        <v>1</v>
      </c>
      <c r="O471" s="12">
        <v>2</v>
      </c>
      <c r="P471" s="12">
        <v>2</v>
      </c>
      <c r="Q471" s="12">
        <v>1</v>
      </c>
      <c r="R471" s="12">
        <v>2</v>
      </c>
      <c r="S471" s="12">
        <v>2</v>
      </c>
      <c r="T471" s="1" t="s">
        <v>595</v>
      </c>
      <c r="U471" s="1" t="s">
        <v>596</v>
      </c>
      <c r="V471">
        <v>20260719</v>
      </c>
      <c r="W471">
        <v>46222.653275462966</v>
      </c>
    </row>
    <row r="472" spans="1:23" ht="45">
      <c r="A472" t="s">
        <v>522</v>
      </c>
      <c r="B472" t="s">
        <v>207</v>
      </c>
      <c r="C472" t="s">
        <v>22</v>
      </c>
      <c r="D472" t="s">
        <v>53</v>
      </c>
      <c r="E472" t="s">
        <v>208</v>
      </c>
      <c r="F472" s="1" t="s">
        <v>209</v>
      </c>
      <c r="G472" s="1" t="s">
        <v>210</v>
      </c>
      <c r="H472" s="1" t="s">
        <v>211</v>
      </c>
      <c r="I472">
        <v>33</v>
      </c>
      <c r="J472">
        <v>0</v>
      </c>
      <c r="K472">
        <v>3</v>
      </c>
      <c r="L472" s="11">
        <v>-9.0909000000000004E-2</v>
      </c>
      <c r="M472" t="s">
        <v>598</v>
      </c>
      <c r="N472" s="12">
        <v>1</v>
      </c>
      <c r="O472" s="12">
        <v>2</v>
      </c>
      <c r="P472" s="12">
        <v>2</v>
      </c>
      <c r="Q472" s="12">
        <v>1</v>
      </c>
      <c r="R472" s="12">
        <v>2</v>
      </c>
      <c r="S472" s="12">
        <v>2</v>
      </c>
      <c r="T472" s="1" t="s">
        <v>595</v>
      </c>
      <c r="U472" s="1" t="s">
        <v>596</v>
      </c>
      <c r="V472">
        <v>20260719</v>
      </c>
      <c r="W472">
        <v>46222.653275462966</v>
      </c>
    </row>
    <row r="473" spans="1:23" ht="30">
      <c r="A473" t="s">
        <v>523</v>
      </c>
      <c r="B473" t="s">
        <v>213</v>
      </c>
      <c r="C473" t="s">
        <v>22</v>
      </c>
      <c r="D473" t="s">
        <v>53</v>
      </c>
      <c r="E473" t="s">
        <v>208</v>
      </c>
      <c r="F473" s="1" t="s">
        <v>214</v>
      </c>
      <c r="G473" s="1" t="s">
        <v>215</v>
      </c>
      <c r="H473" s="1" t="s">
        <v>524</v>
      </c>
      <c r="I473">
        <v>30</v>
      </c>
      <c r="J473">
        <v>0</v>
      </c>
      <c r="K473">
        <v>3</v>
      </c>
      <c r="L473" s="11">
        <v>-0.1</v>
      </c>
      <c r="M473" t="s">
        <v>594</v>
      </c>
      <c r="N473" s="12">
        <v>0</v>
      </c>
      <c r="O473" s="12">
        <v>2</v>
      </c>
      <c r="P473" s="12">
        <v>2</v>
      </c>
      <c r="Q473" s="12">
        <v>0</v>
      </c>
      <c r="R473" s="12">
        <v>2</v>
      </c>
      <c r="S473" s="12">
        <v>2</v>
      </c>
      <c r="T473" s="1" t="s">
        <v>595</v>
      </c>
      <c r="U473" s="1" t="s">
        <v>596</v>
      </c>
      <c r="V473">
        <v>20260719</v>
      </c>
      <c r="W473">
        <v>46222.653275462966</v>
      </c>
    </row>
    <row r="474" spans="1:23" ht="30">
      <c r="A474" t="s">
        <v>523</v>
      </c>
      <c r="B474" t="s">
        <v>213</v>
      </c>
      <c r="C474" t="s">
        <v>22</v>
      </c>
      <c r="D474" t="s">
        <v>53</v>
      </c>
      <c r="E474" t="s">
        <v>208</v>
      </c>
      <c r="F474" s="1" t="s">
        <v>214</v>
      </c>
      <c r="G474" s="1" t="s">
        <v>215</v>
      </c>
      <c r="H474" s="1" t="s">
        <v>524</v>
      </c>
      <c r="I474">
        <v>30</v>
      </c>
      <c r="J474">
        <v>0</v>
      </c>
      <c r="K474">
        <v>3</v>
      </c>
      <c r="L474" s="11">
        <v>-0.1</v>
      </c>
      <c r="M474" t="s">
        <v>597</v>
      </c>
      <c r="N474" s="12">
        <v>0</v>
      </c>
      <c r="O474" s="12">
        <v>2</v>
      </c>
      <c r="P474" s="12">
        <v>3</v>
      </c>
      <c r="Q474" s="12">
        <v>0</v>
      </c>
      <c r="R474" s="12">
        <v>2</v>
      </c>
      <c r="S474" s="12">
        <v>2</v>
      </c>
      <c r="T474" s="1" t="s">
        <v>595</v>
      </c>
      <c r="U474" s="1" t="s">
        <v>596</v>
      </c>
      <c r="V474">
        <v>20260719</v>
      </c>
      <c r="W474">
        <v>46222.653275462966</v>
      </c>
    </row>
    <row r="475" spans="1:23" ht="30">
      <c r="A475" t="s">
        <v>523</v>
      </c>
      <c r="B475" t="s">
        <v>213</v>
      </c>
      <c r="C475" t="s">
        <v>22</v>
      </c>
      <c r="D475" t="s">
        <v>53</v>
      </c>
      <c r="E475" t="s">
        <v>208</v>
      </c>
      <c r="F475" s="1" t="s">
        <v>214</v>
      </c>
      <c r="G475" s="1" t="s">
        <v>215</v>
      </c>
      <c r="H475" s="1" t="s">
        <v>524</v>
      </c>
      <c r="I475">
        <v>30</v>
      </c>
      <c r="J475">
        <v>0</v>
      </c>
      <c r="K475">
        <v>3</v>
      </c>
      <c r="L475" s="11">
        <v>-0.1</v>
      </c>
      <c r="M475" t="s">
        <v>598</v>
      </c>
      <c r="N475" s="12">
        <v>0</v>
      </c>
      <c r="O475" s="12">
        <v>3</v>
      </c>
      <c r="P475" s="12">
        <v>3</v>
      </c>
      <c r="Q475" s="12">
        <v>0</v>
      </c>
      <c r="R475" s="12">
        <v>2</v>
      </c>
      <c r="S475" s="12">
        <v>2</v>
      </c>
      <c r="T475" s="1" t="s">
        <v>595</v>
      </c>
      <c r="U475" s="1" t="s">
        <v>596</v>
      </c>
      <c r="V475">
        <v>20260719</v>
      </c>
      <c r="W475">
        <v>46222.653275462966</v>
      </c>
    </row>
    <row r="476" spans="1:23" ht="30">
      <c r="A476" t="s">
        <v>525</v>
      </c>
      <c r="B476" t="s">
        <v>218</v>
      </c>
      <c r="C476" t="s">
        <v>22</v>
      </c>
      <c r="D476" t="s">
        <v>53</v>
      </c>
      <c r="E476" t="s">
        <v>208</v>
      </c>
      <c r="F476" s="1" t="s">
        <v>219</v>
      </c>
      <c r="G476" s="1" t="s">
        <v>220</v>
      </c>
      <c r="H476" s="1" t="s">
        <v>221</v>
      </c>
      <c r="I476">
        <v>30</v>
      </c>
      <c r="J476">
        <v>0</v>
      </c>
      <c r="K476">
        <v>3</v>
      </c>
      <c r="L476" s="11">
        <v>-0.1</v>
      </c>
      <c r="M476" t="s">
        <v>594</v>
      </c>
      <c r="N476" s="12">
        <v>1</v>
      </c>
      <c r="O476" s="12">
        <v>3</v>
      </c>
      <c r="P476" s="12">
        <v>2</v>
      </c>
      <c r="Q476" s="12">
        <v>1</v>
      </c>
      <c r="R476" s="12">
        <v>2</v>
      </c>
      <c r="S476" s="12">
        <v>2</v>
      </c>
      <c r="T476" s="1" t="s">
        <v>595</v>
      </c>
      <c r="U476" s="1" t="s">
        <v>596</v>
      </c>
      <c r="V476">
        <v>20260719</v>
      </c>
      <c r="W476">
        <v>46222.653275462966</v>
      </c>
    </row>
    <row r="477" spans="1:23" ht="30">
      <c r="A477" t="s">
        <v>525</v>
      </c>
      <c r="B477" t="s">
        <v>218</v>
      </c>
      <c r="C477" t="s">
        <v>22</v>
      </c>
      <c r="D477" t="s">
        <v>53</v>
      </c>
      <c r="E477" t="s">
        <v>208</v>
      </c>
      <c r="F477" s="1" t="s">
        <v>219</v>
      </c>
      <c r="G477" s="1" t="s">
        <v>220</v>
      </c>
      <c r="H477" s="1" t="s">
        <v>221</v>
      </c>
      <c r="I477">
        <v>30</v>
      </c>
      <c r="J477">
        <v>0</v>
      </c>
      <c r="K477">
        <v>3</v>
      </c>
      <c r="L477" s="11">
        <v>-0.1</v>
      </c>
      <c r="M477" t="s">
        <v>597</v>
      </c>
      <c r="N477" s="12">
        <v>2</v>
      </c>
      <c r="O477" s="12">
        <v>3</v>
      </c>
      <c r="P477" s="12">
        <v>2</v>
      </c>
      <c r="Q477" s="12">
        <v>1</v>
      </c>
      <c r="R477" s="12">
        <v>2</v>
      </c>
      <c r="S477" s="12">
        <v>3</v>
      </c>
      <c r="T477" s="1" t="s">
        <v>595</v>
      </c>
      <c r="U477" s="1" t="s">
        <v>596</v>
      </c>
      <c r="V477">
        <v>20260719</v>
      </c>
      <c r="W477">
        <v>46222.653275462966</v>
      </c>
    </row>
    <row r="478" spans="1:23" ht="30">
      <c r="A478" t="s">
        <v>525</v>
      </c>
      <c r="B478" t="s">
        <v>218</v>
      </c>
      <c r="C478" t="s">
        <v>22</v>
      </c>
      <c r="D478" t="s">
        <v>53</v>
      </c>
      <c r="E478" t="s">
        <v>208</v>
      </c>
      <c r="F478" s="1" t="s">
        <v>219</v>
      </c>
      <c r="G478" s="1" t="s">
        <v>220</v>
      </c>
      <c r="H478" s="1" t="s">
        <v>221</v>
      </c>
      <c r="I478">
        <v>30</v>
      </c>
      <c r="J478">
        <v>0</v>
      </c>
      <c r="K478">
        <v>3</v>
      </c>
      <c r="L478" s="11">
        <v>-0.1</v>
      </c>
      <c r="M478" t="s">
        <v>598</v>
      </c>
      <c r="N478" s="12">
        <v>1</v>
      </c>
      <c r="O478" s="12">
        <v>3</v>
      </c>
      <c r="P478" s="12">
        <v>3</v>
      </c>
      <c r="Q478" s="12">
        <v>1</v>
      </c>
      <c r="R478" s="12">
        <v>2</v>
      </c>
      <c r="S478" s="12">
        <v>2</v>
      </c>
      <c r="T478" s="1" t="s">
        <v>595</v>
      </c>
      <c r="U478" s="1" t="s">
        <v>596</v>
      </c>
      <c r="V478">
        <v>20260719</v>
      </c>
      <c r="W478">
        <v>46222.653275462966</v>
      </c>
    </row>
    <row r="479" spans="1:23" ht="30">
      <c r="A479" t="s">
        <v>526</v>
      </c>
      <c r="B479" t="s">
        <v>223</v>
      </c>
      <c r="C479" t="s">
        <v>22</v>
      </c>
      <c r="D479" t="s">
        <v>53</v>
      </c>
      <c r="E479" t="s">
        <v>208</v>
      </c>
      <c r="F479" s="1" t="s">
        <v>224</v>
      </c>
      <c r="G479" s="1" t="s">
        <v>225</v>
      </c>
      <c r="H479" s="1" t="s">
        <v>226</v>
      </c>
      <c r="I479">
        <v>32</v>
      </c>
      <c r="J479">
        <v>0</v>
      </c>
      <c r="K479">
        <v>3</v>
      </c>
      <c r="L479" s="11">
        <v>-9.375E-2</v>
      </c>
      <c r="M479" t="s">
        <v>594</v>
      </c>
      <c r="N479" s="12">
        <v>1</v>
      </c>
      <c r="O479" s="12">
        <v>3</v>
      </c>
      <c r="P479" s="12">
        <v>3</v>
      </c>
      <c r="Q479" s="12">
        <v>2</v>
      </c>
      <c r="R479" s="12">
        <v>3</v>
      </c>
      <c r="S479" s="12">
        <v>3</v>
      </c>
      <c r="T479" s="1" t="s">
        <v>595</v>
      </c>
      <c r="U479" s="1" t="s">
        <v>596</v>
      </c>
      <c r="V479">
        <v>20260719</v>
      </c>
      <c r="W479">
        <v>46222.653275462966</v>
      </c>
    </row>
    <row r="480" spans="1:23" ht="30">
      <c r="A480" t="s">
        <v>526</v>
      </c>
      <c r="B480" t="s">
        <v>223</v>
      </c>
      <c r="C480" t="s">
        <v>22</v>
      </c>
      <c r="D480" t="s">
        <v>53</v>
      </c>
      <c r="E480" t="s">
        <v>208</v>
      </c>
      <c r="F480" s="1" t="s">
        <v>224</v>
      </c>
      <c r="G480" s="1" t="s">
        <v>225</v>
      </c>
      <c r="H480" s="1" t="s">
        <v>226</v>
      </c>
      <c r="I480">
        <v>32</v>
      </c>
      <c r="J480">
        <v>0</v>
      </c>
      <c r="K480">
        <v>3</v>
      </c>
      <c r="L480" s="11">
        <v>-9.375E-2</v>
      </c>
      <c r="M480" t="s">
        <v>597</v>
      </c>
      <c r="N480" s="12">
        <v>2</v>
      </c>
      <c r="O480" s="12">
        <v>3</v>
      </c>
      <c r="P480" s="12">
        <v>3</v>
      </c>
      <c r="Q480" s="12">
        <v>2</v>
      </c>
      <c r="R480" s="12">
        <v>3</v>
      </c>
      <c r="S480" s="12">
        <v>3</v>
      </c>
      <c r="T480" s="1" t="s">
        <v>595</v>
      </c>
      <c r="U480" s="1" t="s">
        <v>596</v>
      </c>
      <c r="V480">
        <v>20260719</v>
      </c>
      <c r="W480">
        <v>46222.653275462966</v>
      </c>
    </row>
    <row r="481" spans="1:23" ht="30">
      <c r="A481" t="s">
        <v>526</v>
      </c>
      <c r="B481" t="s">
        <v>223</v>
      </c>
      <c r="C481" t="s">
        <v>22</v>
      </c>
      <c r="D481" t="s">
        <v>53</v>
      </c>
      <c r="E481" t="s">
        <v>208</v>
      </c>
      <c r="F481" s="1" t="s">
        <v>224</v>
      </c>
      <c r="G481" s="1" t="s">
        <v>225</v>
      </c>
      <c r="H481" s="1" t="s">
        <v>226</v>
      </c>
      <c r="I481">
        <v>32</v>
      </c>
      <c r="J481">
        <v>0</v>
      </c>
      <c r="K481">
        <v>3</v>
      </c>
      <c r="L481" s="11">
        <v>-9.375E-2</v>
      </c>
      <c r="M481" t="s">
        <v>598</v>
      </c>
      <c r="N481" s="12">
        <v>1</v>
      </c>
      <c r="O481" s="12">
        <v>3</v>
      </c>
      <c r="P481" s="12">
        <v>3</v>
      </c>
      <c r="Q481" s="12">
        <v>2</v>
      </c>
      <c r="R481" s="12">
        <v>3</v>
      </c>
      <c r="S481" s="12">
        <v>3</v>
      </c>
      <c r="T481" s="1" t="s">
        <v>595</v>
      </c>
      <c r="U481" s="1" t="s">
        <v>596</v>
      </c>
      <c r="V481">
        <v>20260719</v>
      </c>
      <c r="W481">
        <v>46222.653275462966</v>
      </c>
    </row>
    <row r="482" spans="1:23" ht="30">
      <c r="A482" t="s">
        <v>527</v>
      </c>
      <c r="B482" t="s">
        <v>228</v>
      </c>
      <c r="C482" t="s">
        <v>22</v>
      </c>
      <c r="D482" t="s">
        <v>53</v>
      </c>
      <c r="E482" t="s">
        <v>229</v>
      </c>
      <c r="F482" s="1" t="s">
        <v>230</v>
      </c>
      <c r="G482" s="1" t="s">
        <v>231</v>
      </c>
      <c r="H482" s="1" t="s">
        <v>232</v>
      </c>
      <c r="I482">
        <v>29</v>
      </c>
      <c r="J482">
        <v>0</v>
      </c>
      <c r="K482">
        <v>3</v>
      </c>
      <c r="L482" s="11">
        <v>-0.103448</v>
      </c>
      <c r="M482" t="s">
        <v>594</v>
      </c>
      <c r="N482" s="12">
        <v>0</v>
      </c>
      <c r="O482" s="12">
        <v>2</v>
      </c>
      <c r="P482" s="12">
        <v>3</v>
      </c>
      <c r="Q482" s="12">
        <v>1</v>
      </c>
      <c r="R482" s="12">
        <v>3</v>
      </c>
      <c r="S482" s="12">
        <v>3</v>
      </c>
      <c r="T482" s="1" t="s">
        <v>595</v>
      </c>
      <c r="U482" s="1" t="s">
        <v>596</v>
      </c>
      <c r="V482">
        <v>20260719</v>
      </c>
      <c r="W482">
        <v>46222.653275462966</v>
      </c>
    </row>
    <row r="483" spans="1:23" ht="30">
      <c r="A483" t="s">
        <v>527</v>
      </c>
      <c r="B483" t="s">
        <v>228</v>
      </c>
      <c r="C483" t="s">
        <v>22</v>
      </c>
      <c r="D483" t="s">
        <v>53</v>
      </c>
      <c r="E483" t="s">
        <v>229</v>
      </c>
      <c r="F483" s="1" t="s">
        <v>230</v>
      </c>
      <c r="G483" s="1" t="s">
        <v>231</v>
      </c>
      <c r="H483" s="1" t="s">
        <v>232</v>
      </c>
      <c r="I483">
        <v>29</v>
      </c>
      <c r="J483">
        <v>0</v>
      </c>
      <c r="K483">
        <v>3</v>
      </c>
      <c r="L483" s="11">
        <v>-0.103448</v>
      </c>
      <c r="M483" t="s">
        <v>597</v>
      </c>
      <c r="N483" s="12">
        <v>1</v>
      </c>
      <c r="O483" s="12">
        <v>3</v>
      </c>
      <c r="P483" s="12">
        <v>3</v>
      </c>
      <c r="Q483" s="12">
        <v>0</v>
      </c>
      <c r="R483" s="12">
        <v>3</v>
      </c>
      <c r="S483" s="12">
        <v>2</v>
      </c>
      <c r="T483" s="1" t="s">
        <v>595</v>
      </c>
      <c r="U483" s="1" t="s">
        <v>596</v>
      </c>
      <c r="V483">
        <v>20260719</v>
      </c>
      <c r="W483">
        <v>46222.653275462966</v>
      </c>
    </row>
    <row r="484" spans="1:23" ht="30">
      <c r="A484" t="s">
        <v>527</v>
      </c>
      <c r="B484" t="s">
        <v>228</v>
      </c>
      <c r="C484" t="s">
        <v>22</v>
      </c>
      <c r="D484" t="s">
        <v>53</v>
      </c>
      <c r="E484" t="s">
        <v>229</v>
      </c>
      <c r="F484" s="1" t="s">
        <v>230</v>
      </c>
      <c r="G484" s="1" t="s">
        <v>231</v>
      </c>
      <c r="H484" s="1" t="s">
        <v>232</v>
      </c>
      <c r="I484">
        <v>29</v>
      </c>
      <c r="J484">
        <v>0</v>
      </c>
      <c r="K484">
        <v>3</v>
      </c>
      <c r="L484" s="11">
        <v>-0.103448</v>
      </c>
      <c r="M484" t="s">
        <v>598</v>
      </c>
      <c r="N484" s="12">
        <v>1</v>
      </c>
      <c r="O484" s="12">
        <v>3</v>
      </c>
      <c r="P484" s="12">
        <v>3</v>
      </c>
      <c r="Q484" s="12">
        <v>1</v>
      </c>
      <c r="R484" s="12">
        <v>3</v>
      </c>
      <c r="S484" s="12">
        <v>3</v>
      </c>
      <c r="T484" s="1" t="s">
        <v>595</v>
      </c>
      <c r="U484" s="1" t="s">
        <v>596</v>
      </c>
      <c r="V484">
        <v>20260719</v>
      </c>
      <c r="W484">
        <v>46222.653275462966</v>
      </c>
    </row>
    <row r="485" spans="1:23" ht="45">
      <c r="A485" t="s">
        <v>528</v>
      </c>
      <c r="B485" t="s">
        <v>234</v>
      </c>
      <c r="C485" t="s">
        <v>22</v>
      </c>
      <c r="D485" t="s">
        <v>53</v>
      </c>
      <c r="E485" t="s">
        <v>229</v>
      </c>
      <c r="F485" s="1" t="s">
        <v>235</v>
      </c>
      <c r="G485" s="1" t="s">
        <v>236</v>
      </c>
      <c r="H485" s="1" t="s">
        <v>237</v>
      </c>
      <c r="I485">
        <v>35</v>
      </c>
      <c r="J485">
        <v>0</v>
      </c>
      <c r="K485">
        <v>3</v>
      </c>
      <c r="L485" s="11">
        <v>-8.5713999999999999E-2</v>
      </c>
      <c r="M485" t="s">
        <v>594</v>
      </c>
      <c r="N485" s="12">
        <v>0</v>
      </c>
      <c r="O485" s="12">
        <v>3</v>
      </c>
      <c r="P485" s="12">
        <v>3</v>
      </c>
      <c r="Q485" s="12">
        <v>0</v>
      </c>
      <c r="R485" s="12">
        <v>2</v>
      </c>
      <c r="S485" s="12">
        <v>2</v>
      </c>
      <c r="T485" s="1" t="s">
        <v>595</v>
      </c>
      <c r="U485" s="1" t="s">
        <v>596</v>
      </c>
      <c r="V485">
        <v>20260719</v>
      </c>
      <c r="W485">
        <v>46222.653275462966</v>
      </c>
    </row>
    <row r="486" spans="1:23" ht="45">
      <c r="A486" t="s">
        <v>528</v>
      </c>
      <c r="B486" t="s">
        <v>234</v>
      </c>
      <c r="C486" t="s">
        <v>22</v>
      </c>
      <c r="D486" t="s">
        <v>53</v>
      </c>
      <c r="E486" t="s">
        <v>229</v>
      </c>
      <c r="F486" s="1" t="s">
        <v>235</v>
      </c>
      <c r="G486" s="1" t="s">
        <v>236</v>
      </c>
      <c r="H486" s="1" t="s">
        <v>237</v>
      </c>
      <c r="I486">
        <v>35</v>
      </c>
      <c r="J486">
        <v>0</v>
      </c>
      <c r="K486">
        <v>3</v>
      </c>
      <c r="L486" s="11">
        <v>-8.5713999999999999E-2</v>
      </c>
      <c r="M486" t="s">
        <v>597</v>
      </c>
      <c r="N486" s="12">
        <v>0</v>
      </c>
      <c r="O486" s="12">
        <v>2</v>
      </c>
      <c r="P486" s="12">
        <v>3</v>
      </c>
      <c r="Q486" s="12">
        <v>0</v>
      </c>
      <c r="R486" s="12">
        <v>2</v>
      </c>
      <c r="S486" s="12">
        <v>2</v>
      </c>
      <c r="T486" s="1" t="s">
        <v>595</v>
      </c>
      <c r="U486" s="1" t="s">
        <v>596</v>
      </c>
      <c r="V486">
        <v>20260719</v>
      </c>
      <c r="W486">
        <v>46222.653275462966</v>
      </c>
    </row>
    <row r="487" spans="1:23" ht="45">
      <c r="A487" t="s">
        <v>528</v>
      </c>
      <c r="B487" t="s">
        <v>234</v>
      </c>
      <c r="C487" t="s">
        <v>22</v>
      </c>
      <c r="D487" t="s">
        <v>53</v>
      </c>
      <c r="E487" t="s">
        <v>229</v>
      </c>
      <c r="F487" s="1" t="s">
        <v>235</v>
      </c>
      <c r="G487" s="1" t="s">
        <v>236</v>
      </c>
      <c r="H487" s="1" t="s">
        <v>237</v>
      </c>
      <c r="I487">
        <v>35</v>
      </c>
      <c r="J487">
        <v>0</v>
      </c>
      <c r="K487">
        <v>3</v>
      </c>
      <c r="L487" s="11">
        <v>-8.5713999999999999E-2</v>
      </c>
      <c r="M487" t="s">
        <v>598</v>
      </c>
      <c r="N487" s="12">
        <v>0</v>
      </c>
      <c r="O487" s="12">
        <v>3</v>
      </c>
      <c r="P487" s="12">
        <v>3</v>
      </c>
      <c r="Q487" s="12">
        <v>0</v>
      </c>
      <c r="R487" s="12">
        <v>2</v>
      </c>
      <c r="S487" s="12">
        <v>2</v>
      </c>
      <c r="T487" s="1" t="s">
        <v>595</v>
      </c>
      <c r="U487" s="1" t="s">
        <v>596</v>
      </c>
      <c r="V487">
        <v>20260719</v>
      </c>
      <c r="W487">
        <v>46222.653275462966</v>
      </c>
    </row>
    <row r="488" spans="1:23" ht="30">
      <c r="A488" t="s">
        <v>529</v>
      </c>
      <c r="B488" t="s">
        <v>239</v>
      </c>
      <c r="C488" t="s">
        <v>22</v>
      </c>
      <c r="D488" t="s">
        <v>53</v>
      </c>
      <c r="E488" t="s">
        <v>229</v>
      </c>
      <c r="F488" s="1" t="s">
        <v>240</v>
      </c>
      <c r="G488" s="1" t="s">
        <v>241</v>
      </c>
      <c r="H488" s="1" t="s">
        <v>242</v>
      </c>
      <c r="I488">
        <v>32</v>
      </c>
      <c r="J488">
        <v>0</v>
      </c>
      <c r="K488">
        <v>3</v>
      </c>
      <c r="L488" s="11">
        <v>-9.375E-2</v>
      </c>
      <c r="M488" t="s">
        <v>594</v>
      </c>
      <c r="N488" s="12">
        <v>2</v>
      </c>
      <c r="O488" s="12">
        <v>2</v>
      </c>
      <c r="P488" s="12">
        <v>3</v>
      </c>
      <c r="Q488" s="12">
        <v>2</v>
      </c>
      <c r="R488" s="12">
        <v>2</v>
      </c>
      <c r="S488" s="12">
        <v>2</v>
      </c>
      <c r="T488" s="1" t="s">
        <v>595</v>
      </c>
      <c r="U488" s="1" t="s">
        <v>596</v>
      </c>
      <c r="V488">
        <v>20260719</v>
      </c>
      <c r="W488">
        <v>46222.653275462966</v>
      </c>
    </row>
    <row r="489" spans="1:23" ht="30">
      <c r="A489" t="s">
        <v>529</v>
      </c>
      <c r="B489" t="s">
        <v>239</v>
      </c>
      <c r="C489" t="s">
        <v>22</v>
      </c>
      <c r="D489" t="s">
        <v>53</v>
      </c>
      <c r="E489" t="s">
        <v>229</v>
      </c>
      <c r="F489" s="1" t="s">
        <v>240</v>
      </c>
      <c r="G489" s="1" t="s">
        <v>241</v>
      </c>
      <c r="H489" s="1" t="s">
        <v>242</v>
      </c>
      <c r="I489">
        <v>32</v>
      </c>
      <c r="J489">
        <v>0</v>
      </c>
      <c r="K489">
        <v>3</v>
      </c>
      <c r="L489" s="11">
        <v>-9.375E-2</v>
      </c>
      <c r="M489" t="s">
        <v>597</v>
      </c>
      <c r="N489" s="12">
        <v>2</v>
      </c>
      <c r="O489" s="12">
        <v>2</v>
      </c>
      <c r="P489" s="12">
        <v>3</v>
      </c>
      <c r="Q489" s="12">
        <v>2</v>
      </c>
      <c r="R489" s="12">
        <v>2</v>
      </c>
      <c r="S489" s="12">
        <v>3</v>
      </c>
      <c r="T489" s="1" t="s">
        <v>595</v>
      </c>
      <c r="U489" s="1" t="s">
        <v>596</v>
      </c>
      <c r="V489">
        <v>20260719</v>
      </c>
      <c r="W489">
        <v>46222.653275462966</v>
      </c>
    </row>
    <row r="490" spans="1:23" ht="30">
      <c r="A490" t="s">
        <v>529</v>
      </c>
      <c r="B490" t="s">
        <v>239</v>
      </c>
      <c r="C490" t="s">
        <v>22</v>
      </c>
      <c r="D490" t="s">
        <v>53</v>
      </c>
      <c r="E490" t="s">
        <v>229</v>
      </c>
      <c r="F490" s="1" t="s">
        <v>240</v>
      </c>
      <c r="G490" s="1" t="s">
        <v>241</v>
      </c>
      <c r="H490" s="1" t="s">
        <v>242</v>
      </c>
      <c r="I490">
        <v>32</v>
      </c>
      <c r="J490">
        <v>0</v>
      </c>
      <c r="K490">
        <v>3</v>
      </c>
      <c r="L490" s="11">
        <v>-9.375E-2</v>
      </c>
      <c r="M490" t="s">
        <v>598</v>
      </c>
      <c r="N490" s="12">
        <v>1</v>
      </c>
      <c r="O490" s="12">
        <v>2</v>
      </c>
      <c r="P490" s="12">
        <v>3</v>
      </c>
      <c r="Q490" s="12">
        <v>2</v>
      </c>
      <c r="R490" s="12">
        <v>2</v>
      </c>
      <c r="S490" s="12">
        <v>2</v>
      </c>
      <c r="T490" s="1" t="s">
        <v>595</v>
      </c>
      <c r="U490" s="1" t="s">
        <v>596</v>
      </c>
      <c r="V490">
        <v>20260719</v>
      </c>
      <c r="W490">
        <v>46222.653275462966</v>
      </c>
    </row>
    <row r="491" spans="1:23" ht="30">
      <c r="A491" t="s">
        <v>530</v>
      </c>
      <c r="B491" t="s">
        <v>244</v>
      </c>
      <c r="C491" t="s">
        <v>22</v>
      </c>
      <c r="D491" t="s">
        <v>53</v>
      </c>
      <c r="E491" t="s">
        <v>229</v>
      </c>
      <c r="F491" s="1" t="s">
        <v>245</v>
      </c>
      <c r="G491" s="1" t="s">
        <v>246</v>
      </c>
      <c r="H491" s="1" t="s">
        <v>247</v>
      </c>
      <c r="I491">
        <v>30</v>
      </c>
      <c r="J491">
        <v>0</v>
      </c>
      <c r="K491">
        <v>3</v>
      </c>
      <c r="L491" s="11">
        <v>-0.1</v>
      </c>
      <c r="M491" t="s">
        <v>594</v>
      </c>
      <c r="N491" s="12">
        <v>0</v>
      </c>
      <c r="O491" s="12">
        <v>3</v>
      </c>
      <c r="P491" s="12">
        <v>3</v>
      </c>
      <c r="Q491" s="12">
        <v>0</v>
      </c>
      <c r="R491" s="12">
        <v>3</v>
      </c>
      <c r="S491" s="12">
        <v>3</v>
      </c>
      <c r="T491" s="1" t="s">
        <v>595</v>
      </c>
      <c r="U491" s="1" t="s">
        <v>596</v>
      </c>
      <c r="V491">
        <v>20260719</v>
      </c>
      <c r="W491">
        <v>46222.653275462966</v>
      </c>
    </row>
    <row r="492" spans="1:23" ht="30">
      <c r="A492" t="s">
        <v>530</v>
      </c>
      <c r="B492" t="s">
        <v>244</v>
      </c>
      <c r="C492" t="s">
        <v>22</v>
      </c>
      <c r="D492" t="s">
        <v>53</v>
      </c>
      <c r="E492" t="s">
        <v>229</v>
      </c>
      <c r="F492" s="1" t="s">
        <v>245</v>
      </c>
      <c r="G492" s="1" t="s">
        <v>246</v>
      </c>
      <c r="H492" s="1" t="s">
        <v>247</v>
      </c>
      <c r="I492">
        <v>30</v>
      </c>
      <c r="J492">
        <v>0</v>
      </c>
      <c r="K492">
        <v>3</v>
      </c>
      <c r="L492" s="11">
        <v>-0.1</v>
      </c>
      <c r="M492" t="s">
        <v>597</v>
      </c>
      <c r="N492" s="12">
        <v>0</v>
      </c>
      <c r="O492" s="12">
        <v>3</v>
      </c>
      <c r="P492" s="12">
        <v>3</v>
      </c>
      <c r="Q492" s="12">
        <v>0</v>
      </c>
      <c r="R492" s="12">
        <v>3</v>
      </c>
      <c r="S492" s="12">
        <v>3</v>
      </c>
      <c r="T492" s="1" t="s">
        <v>595</v>
      </c>
      <c r="U492" s="1" t="s">
        <v>596</v>
      </c>
      <c r="V492">
        <v>20260719</v>
      </c>
      <c r="W492">
        <v>46222.653275462966</v>
      </c>
    </row>
    <row r="493" spans="1:23" ht="30">
      <c r="A493" t="s">
        <v>530</v>
      </c>
      <c r="B493" t="s">
        <v>244</v>
      </c>
      <c r="C493" t="s">
        <v>22</v>
      </c>
      <c r="D493" t="s">
        <v>53</v>
      </c>
      <c r="E493" t="s">
        <v>229</v>
      </c>
      <c r="F493" s="1" t="s">
        <v>245</v>
      </c>
      <c r="G493" s="1" t="s">
        <v>246</v>
      </c>
      <c r="H493" s="1" t="s">
        <v>247</v>
      </c>
      <c r="I493">
        <v>30</v>
      </c>
      <c r="J493">
        <v>0</v>
      </c>
      <c r="K493">
        <v>3</v>
      </c>
      <c r="L493" s="11">
        <v>-0.1</v>
      </c>
      <c r="M493" t="s">
        <v>598</v>
      </c>
      <c r="N493" s="12">
        <v>0</v>
      </c>
      <c r="O493" s="12">
        <v>3</v>
      </c>
      <c r="P493" s="12">
        <v>3</v>
      </c>
      <c r="Q493" s="12">
        <v>0</v>
      </c>
      <c r="R493" s="12">
        <v>3</v>
      </c>
      <c r="S493" s="12">
        <v>3</v>
      </c>
      <c r="T493" s="1" t="s">
        <v>595</v>
      </c>
      <c r="U493" s="1" t="s">
        <v>596</v>
      </c>
      <c r="V493">
        <v>20260719</v>
      </c>
      <c r="W493">
        <v>46222.653275462966</v>
      </c>
    </row>
    <row r="494" spans="1:23" ht="30">
      <c r="A494" t="s">
        <v>531</v>
      </c>
      <c r="B494" t="s">
        <v>249</v>
      </c>
      <c r="C494" t="s">
        <v>22</v>
      </c>
      <c r="D494" t="s">
        <v>53</v>
      </c>
      <c r="E494" t="s">
        <v>250</v>
      </c>
      <c r="F494" s="1" t="s">
        <v>251</v>
      </c>
      <c r="G494" s="1" t="s">
        <v>252</v>
      </c>
      <c r="H494" s="1" t="s">
        <v>532</v>
      </c>
      <c r="I494">
        <v>28</v>
      </c>
      <c r="J494">
        <v>0</v>
      </c>
      <c r="K494">
        <v>3</v>
      </c>
      <c r="L494" s="11">
        <v>-0.107143</v>
      </c>
      <c r="M494" t="s">
        <v>594</v>
      </c>
      <c r="N494" s="12">
        <v>0</v>
      </c>
      <c r="O494" s="12">
        <v>3</v>
      </c>
      <c r="P494" s="12">
        <v>2</v>
      </c>
      <c r="Q494" s="12">
        <v>0</v>
      </c>
      <c r="R494" s="12">
        <v>3</v>
      </c>
      <c r="S494" s="12">
        <v>2</v>
      </c>
      <c r="T494" s="1" t="s">
        <v>595</v>
      </c>
      <c r="U494" s="1" t="s">
        <v>596</v>
      </c>
      <c r="V494">
        <v>20260719</v>
      </c>
      <c r="W494">
        <v>46222.653275462966</v>
      </c>
    </row>
    <row r="495" spans="1:23" ht="30">
      <c r="A495" t="s">
        <v>531</v>
      </c>
      <c r="B495" t="s">
        <v>249</v>
      </c>
      <c r="C495" t="s">
        <v>22</v>
      </c>
      <c r="D495" t="s">
        <v>53</v>
      </c>
      <c r="E495" t="s">
        <v>250</v>
      </c>
      <c r="F495" s="1" t="s">
        <v>251</v>
      </c>
      <c r="G495" s="1" t="s">
        <v>252</v>
      </c>
      <c r="H495" s="1" t="s">
        <v>532</v>
      </c>
      <c r="I495">
        <v>28</v>
      </c>
      <c r="J495">
        <v>0</v>
      </c>
      <c r="K495">
        <v>3</v>
      </c>
      <c r="L495" s="11">
        <v>-0.107143</v>
      </c>
      <c r="M495" t="s">
        <v>597</v>
      </c>
      <c r="N495" s="12">
        <v>0</v>
      </c>
      <c r="O495" s="12">
        <v>3</v>
      </c>
      <c r="P495" s="12">
        <v>2</v>
      </c>
      <c r="Q495" s="12">
        <v>0</v>
      </c>
      <c r="R495" s="12">
        <v>2</v>
      </c>
      <c r="S495" s="12">
        <v>2</v>
      </c>
      <c r="T495" s="1" t="s">
        <v>595</v>
      </c>
      <c r="U495" s="1" t="s">
        <v>596</v>
      </c>
      <c r="V495">
        <v>20260719</v>
      </c>
      <c r="W495">
        <v>46222.653275462966</v>
      </c>
    </row>
    <row r="496" spans="1:23" ht="30">
      <c r="A496" t="s">
        <v>531</v>
      </c>
      <c r="B496" t="s">
        <v>249</v>
      </c>
      <c r="C496" t="s">
        <v>22</v>
      </c>
      <c r="D496" t="s">
        <v>53</v>
      </c>
      <c r="E496" t="s">
        <v>250</v>
      </c>
      <c r="F496" s="1" t="s">
        <v>251</v>
      </c>
      <c r="G496" s="1" t="s">
        <v>252</v>
      </c>
      <c r="H496" s="1" t="s">
        <v>532</v>
      </c>
      <c r="I496">
        <v>28</v>
      </c>
      <c r="J496">
        <v>0</v>
      </c>
      <c r="K496">
        <v>3</v>
      </c>
      <c r="L496" s="11">
        <v>-0.107143</v>
      </c>
      <c r="M496" t="s">
        <v>598</v>
      </c>
      <c r="N496" s="12">
        <v>0</v>
      </c>
      <c r="O496" s="12">
        <v>3</v>
      </c>
      <c r="P496" s="12">
        <v>2</v>
      </c>
      <c r="Q496" s="12">
        <v>0</v>
      </c>
      <c r="R496" s="12">
        <v>2</v>
      </c>
      <c r="S496" s="12">
        <v>2</v>
      </c>
      <c r="T496" s="1" t="s">
        <v>595</v>
      </c>
      <c r="U496" s="1" t="s">
        <v>596</v>
      </c>
      <c r="V496">
        <v>20260719</v>
      </c>
      <c r="W496">
        <v>46222.653275462966</v>
      </c>
    </row>
    <row r="497" spans="1:23" ht="45">
      <c r="A497" t="s">
        <v>533</v>
      </c>
      <c r="B497" t="s">
        <v>255</v>
      </c>
      <c r="C497" t="s">
        <v>22</v>
      </c>
      <c r="D497" t="s">
        <v>53</v>
      </c>
      <c r="E497" t="s">
        <v>250</v>
      </c>
      <c r="F497" s="1" t="s">
        <v>256</v>
      </c>
      <c r="G497" s="1" t="s">
        <v>257</v>
      </c>
      <c r="H497" s="1" t="s">
        <v>258</v>
      </c>
      <c r="I497">
        <v>33</v>
      </c>
      <c r="J497">
        <v>0</v>
      </c>
      <c r="K497">
        <v>3</v>
      </c>
      <c r="L497" s="11">
        <v>-9.0909000000000004E-2</v>
      </c>
      <c r="M497" t="s">
        <v>594</v>
      </c>
      <c r="N497" s="12">
        <v>0</v>
      </c>
      <c r="O497" s="12">
        <v>2</v>
      </c>
      <c r="P497" s="12">
        <v>3</v>
      </c>
      <c r="Q497" s="12">
        <v>1</v>
      </c>
      <c r="R497" s="12">
        <v>3</v>
      </c>
      <c r="S497" s="12">
        <v>2</v>
      </c>
      <c r="T497" s="1" t="s">
        <v>595</v>
      </c>
      <c r="U497" s="1" t="s">
        <v>596</v>
      </c>
      <c r="V497">
        <v>20260719</v>
      </c>
      <c r="W497">
        <v>46222.653275462966</v>
      </c>
    </row>
    <row r="498" spans="1:23" ht="45">
      <c r="A498" t="s">
        <v>533</v>
      </c>
      <c r="B498" t="s">
        <v>255</v>
      </c>
      <c r="C498" t="s">
        <v>22</v>
      </c>
      <c r="D498" t="s">
        <v>53</v>
      </c>
      <c r="E498" t="s">
        <v>250</v>
      </c>
      <c r="F498" s="1" t="s">
        <v>256</v>
      </c>
      <c r="G498" s="1" t="s">
        <v>257</v>
      </c>
      <c r="H498" s="1" t="s">
        <v>258</v>
      </c>
      <c r="I498">
        <v>33</v>
      </c>
      <c r="J498">
        <v>0</v>
      </c>
      <c r="K498">
        <v>3</v>
      </c>
      <c r="L498" s="11">
        <v>-9.0909000000000004E-2</v>
      </c>
      <c r="M498" t="s">
        <v>597</v>
      </c>
      <c r="N498" s="12">
        <v>0</v>
      </c>
      <c r="O498" s="12">
        <v>2</v>
      </c>
      <c r="P498" s="12">
        <v>3</v>
      </c>
      <c r="Q498" s="12">
        <v>1</v>
      </c>
      <c r="R498" s="12">
        <v>3</v>
      </c>
      <c r="S498" s="12">
        <v>2</v>
      </c>
      <c r="T498" s="1" t="s">
        <v>595</v>
      </c>
      <c r="U498" s="1" t="s">
        <v>596</v>
      </c>
      <c r="V498">
        <v>20260719</v>
      </c>
      <c r="W498">
        <v>46222.653275462966</v>
      </c>
    </row>
    <row r="499" spans="1:23" ht="45">
      <c r="A499" t="s">
        <v>533</v>
      </c>
      <c r="B499" t="s">
        <v>255</v>
      </c>
      <c r="C499" t="s">
        <v>22</v>
      </c>
      <c r="D499" t="s">
        <v>53</v>
      </c>
      <c r="E499" t="s">
        <v>250</v>
      </c>
      <c r="F499" s="1" t="s">
        <v>256</v>
      </c>
      <c r="G499" s="1" t="s">
        <v>257</v>
      </c>
      <c r="H499" s="1" t="s">
        <v>258</v>
      </c>
      <c r="I499">
        <v>33</v>
      </c>
      <c r="J499">
        <v>0</v>
      </c>
      <c r="K499">
        <v>3</v>
      </c>
      <c r="L499" s="11">
        <v>-9.0909000000000004E-2</v>
      </c>
      <c r="M499" t="s">
        <v>598</v>
      </c>
      <c r="N499" s="12">
        <v>0</v>
      </c>
      <c r="O499" s="12">
        <v>2</v>
      </c>
      <c r="P499" s="12">
        <v>3</v>
      </c>
      <c r="Q499" s="12">
        <v>1</v>
      </c>
      <c r="R499" s="12">
        <v>3</v>
      </c>
      <c r="S499" s="12">
        <v>2</v>
      </c>
      <c r="T499" s="1" t="s">
        <v>595</v>
      </c>
      <c r="U499" s="1" t="s">
        <v>596</v>
      </c>
      <c r="V499">
        <v>20260719</v>
      </c>
      <c r="W499">
        <v>46222.653275462966</v>
      </c>
    </row>
    <row r="500" spans="1:23" ht="30">
      <c r="A500" t="s">
        <v>534</v>
      </c>
      <c r="B500" t="s">
        <v>260</v>
      </c>
      <c r="C500" t="s">
        <v>22</v>
      </c>
      <c r="D500" t="s">
        <v>53</v>
      </c>
      <c r="E500" t="s">
        <v>250</v>
      </c>
      <c r="F500" s="1" t="s">
        <v>261</v>
      </c>
      <c r="G500" s="1" t="s">
        <v>262</v>
      </c>
      <c r="H500" s="1" t="s">
        <v>263</v>
      </c>
      <c r="I500">
        <v>28</v>
      </c>
      <c r="J500">
        <v>0</v>
      </c>
      <c r="K500">
        <v>3</v>
      </c>
      <c r="L500" s="11">
        <v>-0.107143</v>
      </c>
      <c r="M500" t="s">
        <v>594</v>
      </c>
      <c r="N500" s="12">
        <v>1</v>
      </c>
      <c r="O500" s="12">
        <v>3</v>
      </c>
      <c r="P500" s="12">
        <v>2</v>
      </c>
      <c r="Q500" s="12">
        <v>1</v>
      </c>
      <c r="R500" s="12">
        <v>3</v>
      </c>
      <c r="S500" s="12">
        <v>2</v>
      </c>
      <c r="T500" s="1" t="s">
        <v>595</v>
      </c>
      <c r="U500" s="1" t="s">
        <v>596</v>
      </c>
      <c r="V500">
        <v>20260719</v>
      </c>
      <c r="W500">
        <v>46222.653275462966</v>
      </c>
    </row>
    <row r="501" spans="1:23" ht="30">
      <c r="A501" t="s">
        <v>534</v>
      </c>
      <c r="B501" t="s">
        <v>260</v>
      </c>
      <c r="C501" t="s">
        <v>22</v>
      </c>
      <c r="D501" t="s">
        <v>53</v>
      </c>
      <c r="E501" t="s">
        <v>250</v>
      </c>
      <c r="F501" s="1" t="s">
        <v>261</v>
      </c>
      <c r="G501" s="1" t="s">
        <v>262</v>
      </c>
      <c r="H501" s="1" t="s">
        <v>263</v>
      </c>
      <c r="I501">
        <v>28</v>
      </c>
      <c r="J501">
        <v>0</v>
      </c>
      <c r="K501">
        <v>3</v>
      </c>
      <c r="L501" s="11">
        <v>-0.107143</v>
      </c>
      <c r="M501" t="s">
        <v>597</v>
      </c>
      <c r="N501" s="12">
        <v>1</v>
      </c>
      <c r="O501" s="12">
        <v>3</v>
      </c>
      <c r="P501" s="12">
        <v>3</v>
      </c>
      <c r="Q501" s="12">
        <v>1</v>
      </c>
      <c r="R501" s="12">
        <v>2</v>
      </c>
      <c r="S501" s="12">
        <v>2</v>
      </c>
      <c r="T501" s="1" t="s">
        <v>595</v>
      </c>
      <c r="U501" s="1" t="s">
        <v>596</v>
      </c>
      <c r="V501">
        <v>20260719</v>
      </c>
      <c r="W501">
        <v>46222.653275462966</v>
      </c>
    </row>
    <row r="502" spans="1:23" ht="30">
      <c r="A502" t="s">
        <v>534</v>
      </c>
      <c r="B502" t="s">
        <v>260</v>
      </c>
      <c r="C502" t="s">
        <v>22</v>
      </c>
      <c r="D502" t="s">
        <v>53</v>
      </c>
      <c r="E502" t="s">
        <v>250</v>
      </c>
      <c r="F502" s="1" t="s">
        <v>261</v>
      </c>
      <c r="G502" s="1" t="s">
        <v>262</v>
      </c>
      <c r="H502" s="1" t="s">
        <v>263</v>
      </c>
      <c r="I502">
        <v>28</v>
      </c>
      <c r="J502">
        <v>0</v>
      </c>
      <c r="K502">
        <v>3</v>
      </c>
      <c r="L502" s="11">
        <v>-0.107143</v>
      </c>
      <c r="M502" t="s">
        <v>598</v>
      </c>
      <c r="N502" s="12">
        <v>1</v>
      </c>
      <c r="O502" s="12">
        <v>3</v>
      </c>
      <c r="P502" s="12">
        <v>2</v>
      </c>
      <c r="Q502" s="12">
        <v>1</v>
      </c>
      <c r="R502" s="12">
        <v>3</v>
      </c>
      <c r="S502" s="12">
        <v>2</v>
      </c>
      <c r="T502" s="1" t="s">
        <v>595</v>
      </c>
      <c r="U502" s="1" t="s">
        <v>596</v>
      </c>
      <c r="V502">
        <v>20260719</v>
      </c>
      <c r="W502">
        <v>46222.653275462966</v>
      </c>
    </row>
    <row r="503" spans="1:23" ht="45">
      <c r="A503" t="s">
        <v>535</v>
      </c>
      <c r="B503" t="s">
        <v>265</v>
      </c>
      <c r="C503" t="s">
        <v>22</v>
      </c>
      <c r="D503" t="s">
        <v>53</v>
      </c>
      <c r="E503" t="s">
        <v>250</v>
      </c>
      <c r="F503" s="1" t="s">
        <v>266</v>
      </c>
      <c r="G503" s="1" t="s">
        <v>267</v>
      </c>
      <c r="H503" s="1" t="s">
        <v>268</v>
      </c>
      <c r="I503">
        <v>33</v>
      </c>
      <c r="J503">
        <v>0</v>
      </c>
      <c r="K503">
        <v>3</v>
      </c>
      <c r="L503" s="11">
        <v>-9.0909000000000004E-2</v>
      </c>
      <c r="M503" t="s">
        <v>594</v>
      </c>
      <c r="N503" s="12">
        <v>1</v>
      </c>
      <c r="O503" s="12">
        <v>2</v>
      </c>
      <c r="P503" s="12">
        <v>3</v>
      </c>
      <c r="Q503" s="12">
        <v>1</v>
      </c>
      <c r="R503" s="12">
        <v>3</v>
      </c>
      <c r="S503" s="12">
        <v>3</v>
      </c>
      <c r="T503" s="1" t="s">
        <v>595</v>
      </c>
      <c r="U503" s="1" t="s">
        <v>596</v>
      </c>
      <c r="V503">
        <v>20260719</v>
      </c>
      <c r="W503">
        <v>46222.653275462966</v>
      </c>
    </row>
    <row r="504" spans="1:23" ht="45">
      <c r="A504" t="s">
        <v>535</v>
      </c>
      <c r="B504" t="s">
        <v>265</v>
      </c>
      <c r="C504" t="s">
        <v>22</v>
      </c>
      <c r="D504" t="s">
        <v>53</v>
      </c>
      <c r="E504" t="s">
        <v>250</v>
      </c>
      <c r="F504" s="1" t="s">
        <v>266</v>
      </c>
      <c r="G504" s="1" t="s">
        <v>267</v>
      </c>
      <c r="H504" s="1" t="s">
        <v>268</v>
      </c>
      <c r="I504">
        <v>33</v>
      </c>
      <c r="J504">
        <v>0</v>
      </c>
      <c r="K504">
        <v>3</v>
      </c>
      <c r="L504" s="11">
        <v>-9.0909000000000004E-2</v>
      </c>
      <c r="M504" t="s">
        <v>597</v>
      </c>
      <c r="N504" s="12">
        <v>1</v>
      </c>
      <c r="O504" s="12">
        <v>2</v>
      </c>
      <c r="P504" s="12">
        <v>3</v>
      </c>
      <c r="Q504" s="12">
        <v>1</v>
      </c>
      <c r="R504" s="12">
        <v>2</v>
      </c>
      <c r="S504" s="12">
        <v>3</v>
      </c>
      <c r="T504" s="1" t="s">
        <v>595</v>
      </c>
      <c r="U504" s="1" t="s">
        <v>596</v>
      </c>
      <c r="V504">
        <v>20260719</v>
      </c>
      <c r="W504">
        <v>46222.653275462966</v>
      </c>
    </row>
    <row r="505" spans="1:23" ht="45">
      <c r="A505" t="s">
        <v>535</v>
      </c>
      <c r="B505" t="s">
        <v>265</v>
      </c>
      <c r="C505" t="s">
        <v>22</v>
      </c>
      <c r="D505" t="s">
        <v>53</v>
      </c>
      <c r="E505" t="s">
        <v>250</v>
      </c>
      <c r="F505" s="1" t="s">
        <v>266</v>
      </c>
      <c r="G505" s="1" t="s">
        <v>267</v>
      </c>
      <c r="H505" s="1" t="s">
        <v>268</v>
      </c>
      <c r="I505">
        <v>33</v>
      </c>
      <c r="J505">
        <v>0</v>
      </c>
      <c r="K505">
        <v>3</v>
      </c>
      <c r="L505" s="11">
        <v>-9.0909000000000004E-2</v>
      </c>
      <c r="M505" t="s">
        <v>598</v>
      </c>
      <c r="N505" s="12">
        <v>1</v>
      </c>
      <c r="O505" s="12">
        <v>2</v>
      </c>
      <c r="P505" s="12">
        <v>2</v>
      </c>
      <c r="Q505" s="12">
        <v>1</v>
      </c>
      <c r="R505" s="12">
        <v>3</v>
      </c>
      <c r="S505" s="12">
        <v>3</v>
      </c>
      <c r="T505" s="1" t="s">
        <v>595</v>
      </c>
      <c r="U505" s="1" t="s">
        <v>596</v>
      </c>
      <c r="V505">
        <v>20260719</v>
      </c>
      <c r="W505">
        <v>46222.653275462966</v>
      </c>
    </row>
    <row r="506" spans="1:23" ht="30">
      <c r="A506" t="s">
        <v>536</v>
      </c>
      <c r="B506" t="s">
        <v>142</v>
      </c>
      <c r="C506" t="s">
        <v>23</v>
      </c>
      <c r="D506" t="s">
        <v>54</v>
      </c>
      <c r="E506" t="s">
        <v>143</v>
      </c>
      <c r="F506" s="1" t="s">
        <v>144</v>
      </c>
      <c r="G506" s="1" t="s">
        <v>145</v>
      </c>
      <c r="H506" s="1" t="s">
        <v>537</v>
      </c>
      <c r="I506">
        <v>26</v>
      </c>
      <c r="J506">
        <v>2</v>
      </c>
      <c r="K506">
        <v>0</v>
      </c>
      <c r="L506" s="11">
        <v>7.6923000000000005E-2</v>
      </c>
      <c r="M506" t="s">
        <v>594</v>
      </c>
      <c r="N506" s="12">
        <v>3</v>
      </c>
      <c r="O506" s="12">
        <v>3</v>
      </c>
      <c r="P506" s="12">
        <v>3</v>
      </c>
      <c r="Q506" s="12">
        <v>2</v>
      </c>
      <c r="R506" s="12">
        <v>3</v>
      </c>
      <c r="S506" s="12">
        <v>3</v>
      </c>
      <c r="T506" s="1" t="s">
        <v>602</v>
      </c>
      <c r="U506" s="1" t="s">
        <v>596</v>
      </c>
      <c r="V506">
        <v>20260719</v>
      </c>
      <c r="W506">
        <v>46222.653275462966</v>
      </c>
    </row>
    <row r="507" spans="1:23" ht="30">
      <c r="A507" t="s">
        <v>536</v>
      </c>
      <c r="B507" t="s">
        <v>142</v>
      </c>
      <c r="C507" t="s">
        <v>23</v>
      </c>
      <c r="D507" t="s">
        <v>54</v>
      </c>
      <c r="E507" t="s">
        <v>143</v>
      </c>
      <c r="F507" s="1" t="s">
        <v>144</v>
      </c>
      <c r="G507" s="1" t="s">
        <v>145</v>
      </c>
      <c r="H507" s="1" t="s">
        <v>537</v>
      </c>
      <c r="I507">
        <v>26</v>
      </c>
      <c r="J507">
        <v>2</v>
      </c>
      <c r="K507">
        <v>0</v>
      </c>
      <c r="L507" s="11">
        <v>7.6923000000000005E-2</v>
      </c>
      <c r="M507" t="s">
        <v>597</v>
      </c>
      <c r="N507" s="12">
        <v>3</v>
      </c>
      <c r="O507" s="12">
        <v>3</v>
      </c>
      <c r="P507" s="12">
        <v>3</v>
      </c>
      <c r="Q507" s="12">
        <v>3</v>
      </c>
      <c r="R507" s="12">
        <v>3</v>
      </c>
      <c r="S507" s="12">
        <v>3</v>
      </c>
      <c r="T507" s="1" t="s">
        <v>602</v>
      </c>
      <c r="U507" s="1" t="s">
        <v>596</v>
      </c>
      <c r="V507">
        <v>20260719</v>
      </c>
      <c r="W507">
        <v>46222.653275462966</v>
      </c>
    </row>
    <row r="508" spans="1:23" ht="30">
      <c r="A508" t="s">
        <v>536</v>
      </c>
      <c r="B508" t="s">
        <v>142</v>
      </c>
      <c r="C508" t="s">
        <v>23</v>
      </c>
      <c r="D508" t="s">
        <v>54</v>
      </c>
      <c r="E508" t="s">
        <v>143</v>
      </c>
      <c r="F508" s="1" t="s">
        <v>144</v>
      </c>
      <c r="G508" s="1" t="s">
        <v>145</v>
      </c>
      <c r="H508" s="1" t="s">
        <v>537</v>
      </c>
      <c r="I508">
        <v>26</v>
      </c>
      <c r="J508">
        <v>2</v>
      </c>
      <c r="K508">
        <v>0</v>
      </c>
      <c r="L508" s="11">
        <v>7.6923000000000005E-2</v>
      </c>
      <c r="M508" t="s">
        <v>598</v>
      </c>
      <c r="N508" s="12">
        <v>3</v>
      </c>
      <c r="O508" s="12">
        <v>3</v>
      </c>
      <c r="P508" s="12">
        <v>3</v>
      </c>
      <c r="Q508" s="12">
        <v>3</v>
      </c>
      <c r="R508" s="12">
        <v>3</v>
      </c>
      <c r="S508" s="12">
        <v>3</v>
      </c>
      <c r="T508" s="1" t="s">
        <v>602</v>
      </c>
      <c r="U508" s="1" t="s">
        <v>596</v>
      </c>
      <c r="V508">
        <v>20260719</v>
      </c>
      <c r="W508">
        <v>46222.653275462966</v>
      </c>
    </row>
    <row r="509" spans="1:23" ht="30">
      <c r="A509" t="s">
        <v>539</v>
      </c>
      <c r="B509" t="s">
        <v>149</v>
      </c>
      <c r="C509" t="s">
        <v>23</v>
      </c>
      <c r="D509" t="s">
        <v>54</v>
      </c>
      <c r="E509" t="s">
        <v>143</v>
      </c>
      <c r="F509" s="1" t="s">
        <v>150</v>
      </c>
      <c r="G509" s="1" t="s">
        <v>151</v>
      </c>
      <c r="H509" s="1" t="s">
        <v>540</v>
      </c>
      <c r="I509">
        <v>27</v>
      </c>
      <c r="J509">
        <v>2</v>
      </c>
      <c r="K509">
        <v>0</v>
      </c>
      <c r="L509" s="11">
        <v>7.4074000000000001E-2</v>
      </c>
      <c r="M509" t="s">
        <v>594</v>
      </c>
      <c r="N509" s="12">
        <v>3</v>
      </c>
      <c r="O509" s="12">
        <v>3</v>
      </c>
      <c r="P509" s="12">
        <v>3</v>
      </c>
      <c r="Q509" s="12">
        <v>3</v>
      </c>
      <c r="R509" s="12">
        <v>3</v>
      </c>
      <c r="S509" s="12">
        <v>3</v>
      </c>
      <c r="T509" s="1" t="s">
        <v>602</v>
      </c>
      <c r="U509" s="1" t="s">
        <v>596</v>
      </c>
      <c r="V509">
        <v>20260719</v>
      </c>
      <c r="W509">
        <v>46222.653275462966</v>
      </c>
    </row>
    <row r="510" spans="1:23" ht="30">
      <c r="A510" t="s">
        <v>539</v>
      </c>
      <c r="B510" t="s">
        <v>149</v>
      </c>
      <c r="C510" t="s">
        <v>23</v>
      </c>
      <c r="D510" t="s">
        <v>54</v>
      </c>
      <c r="E510" t="s">
        <v>143</v>
      </c>
      <c r="F510" s="1" t="s">
        <v>150</v>
      </c>
      <c r="G510" s="1" t="s">
        <v>151</v>
      </c>
      <c r="H510" s="1" t="s">
        <v>540</v>
      </c>
      <c r="I510">
        <v>27</v>
      </c>
      <c r="J510">
        <v>2</v>
      </c>
      <c r="K510">
        <v>0</v>
      </c>
      <c r="L510" s="11">
        <v>7.4074000000000001E-2</v>
      </c>
      <c r="M510" t="s">
        <v>597</v>
      </c>
      <c r="N510" s="12">
        <v>3</v>
      </c>
      <c r="O510" s="12">
        <v>3</v>
      </c>
      <c r="P510" s="12">
        <v>3</v>
      </c>
      <c r="Q510" s="12">
        <v>3</v>
      </c>
      <c r="R510" s="12">
        <v>3</v>
      </c>
      <c r="S510" s="12">
        <v>3</v>
      </c>
      <c r="T510" s="1" t="s">
        <v>602</v>
      </c>
      <c r="U510" s="1" t="s">
        <v>596</v>
      </c>
      <c r="V510">
        <v>20260719</v>
      </c>
      <c r="W510">
        <v>46222.653275462966</v>
      </c>
    </row>
    <row r="511" spans="1:23" ht="30">
      <c r="A511" t="s">
        <v>539</v>
      </c>
      <c r="B511" t="s">
        <v>149</v>
      </c>
      <c r="C511" t="s">
        <v>23</v>
      </c>
      <c r="D511" t="s">
        <v>54</v>
      </c>
      <c r="E511" t="s">
        <v>143</v>
      </c>
      <c r="F511" s="1" t="s">
        <v>150</v>
      </c>
      <c r="G511" s="1" t="s">
        <v>151</v>
      </c>
      <c r="H511" s="1" t="s">
        <v>540</v>
      </c>
      <c r="I511">
        <v>27</v>
      </c>
      <c r="J511">
        <v>2</v>
      </c>
      <c r="K511">
        <v>0</v>
      </c>
      <c r="L511" s="11">
        <v>7.4074000000000001E-2</v>
      </c>
      <c r="M511" t="s">
        <v>598</v>
      </c>
      <c r="N511" s="12">
        <v>3</v>
      </c>
      <c r="O511" s="12">
        <v>3</v>
      </c>
      <c r="P511" s="12">
        <v>3</v>
      </c>
      <c r="Q511" s="12">
        <v>3</v>
      </c>
      <c r="R511" s="12">
        <v>2</v>
      </c>
      <c r="S511" s="12">
        <v>3</v>
      </c>
      <c r="T511" s="1" t="s">
        <v>602</v>
      </c>
      <c r="U511" s="1" t="s">
        <v>596</v>
      </c>
      <c r="V511">
        <v>20260719</v>
      </c>
      <c r="W511">
        <v>46222.653275462966</v>
      </c>
    </row>
    <row r="512" spans="1:23" ht="30">
      <c r="A512" t="s">
        <v>541</v>
      </c>
      <c r="B512" t="s">
        <v>154</v>
      </c>
      <c r="C512" t="s">
        <v>23</v>
      </c>
      <c r="D512" t="s">
        <v>54</v>
      </c>
      <c r="E512" t="s">
        <v>143</v>
      </c>
      <c r="F512" s="1" t="s">
        <v>155</v>
      </c>
      <c r="G512" s="1" t="s">
        <v>156</v>
      </c>
      <c r="H512" s="1" t="s">
        <v>542</v>
      </c>
      <c r="I512">
        <v>24</v>
      </c>
      <c r="J512">
        <v>2</v>
      </c>
      <c r="K512">
        <v>0</v>
      </c>
      <c r="L512" s="11">
        <v>8.3333000000000004E-2</v>
      </c>
      <c r="M512" t="s">
        <v>594</v>
      </c>
      <c r="N512" s="12">
        <v>2</v>
      </c>
      <c r="O512" s="12">
        <v>3</v>
      </c>
      <c r="P512" s="12">
        <v>3</v>
      </c>
      <c r="Q512" s="12">
        <v>2</v>
      </c>
      <c r="R512" s="12">
        <v>2</v>
      </c>
      <c r="S512" s="12">
        <v>2</v>
      </c>
      <c r="T512" s="1" t="s">
        <v>602</v>
      </c>
      <c r="U512" s="1" t="s">
        <v>596</v>
      </c>
      <c r="V512">
        <v>20260719</v>
      </c>
      <c r="W512">
        <v>46222.653275462966</v>
      </c>
    </row>
    <row r="513" spans="1:23" ht="30">
      <c r="A513" t="s">
        <v>541</v>
      </c>
      <c r="B513" t="s">
        <v>154</v>
      </c>
      <c r="C513" t="s">
        <v>23</v>
      </c>
      <c r="D513" t="s">
        <v>54</v>
      </c>
      <c r="E513" t="s">
        <v>143</v>
      </c>
      <c r="F513" s="1" t="s">
        <v>155</v>
      </c>
      <c r="G513" s="1" t="s">
        <v>156</v>
      </c>
      <c r="H513" s="1" t="s">
        <v>542</v>
      </c>
      <c r="I513">
        <v>24</v>
      </c>
      <c r="J513">
        <v>2</v>
      </c>
      <c r="K513">
        <v>0</v>
      </c>
      <c r="L513" s="11">
        <v>8.3333000000000004E-2</v>
      </c>
      <c r="M513" t="s">
        <v>597</v>
      </c>
      <c r="N513" s="12">
        <v>2</v>
      </c>
      <c r="O513" s="12">
        <v>3</v>
      </c>
      <c r="P513" s="12">
        <v>3</v>
      </c>
      <c r="Q513" s="12">
        <v>2</v>
      </c>
      <c r="R513" s="12">
        <v>3</v>
      </c>
      <c r="S513" s="12">
        <v>2</v>
      </c>
      <c r="T513" s="1" t="s">
        <v>602</v>
      </c>
      <c r="U513" s="1" t="s">
        <v>596</v>
      </c>
      <c r="V513">
        <v>20260719</v>
      </c>
      <c r="W513">
        <v>46222.653275462966</v>
      </c>
    </row>
    <row r="514" spans="1:23" ht="30">
      <c r="A514" t="s">
        <v>541</v>
      </c>
      <c r="B514" t="s">
        <v>154</v>
      </c>
      <c r="C514" t="s">
        <v>23</v>
      </c>
      <c r="D514" t="s">
        <v>54</v>
      </c>
      <c r="E514" t="s">
        <v>143</v>
      </c>
      <c r="F514" s="1" t="s">
        <v>155</v>
      </c>
      <c r="G514" s="1" t="s">
        <v>156</v>
      </c>
      <c r="H514" s="1" t="s">
        <v>542</v>
      </c>
      <c r="I514">
        <v>24</v>
      </c>
      <c r="J514">
        <v>2</v>
      </c>
      <c r="K514">
        <v>0</v>
      </c>
      <c r="L514" s="11">
        <v>8.3333000000000004E-2</v>
      </c>
      <c r="M514" t="s">
        <v>598</v>
      </c>
      <c r="N514" s="12">
        <v>2</v>
      </c>
      <c r="O514" s="12">
        <v>3</v>
      </c>
      <c r="P514" s="12">
        <v>3</v>
      </c>
      <c r="Q514" s="12">
        <v>3</v>
      </c>
      <c r="R514" s="12">
        <v>3</v>
      </c>
      <c r="S514" s="12">
        <v>2</v>
      </c>
      <c r="T514" s="1" t="s">
        <v>602</v>
      </c>
      <c r="U514" s="1" t="s">
        <v>596</v>
      </c>
      <c r="V514">
        <v>20260719</v>
      </c>
      <c r="W514">
        <v>46222.653275462966</v>
      </c>
    </row>
    <row r="515" spans="1:23" ht="30">
      <c r="A515" t="s">
        <v>543</v>
      </c>
      <c r="B515" t="s">
        <v>160</v>
      </c>
      <c r="C515" t="s">
        <v>23</v>
      </c>
      <c r="D515" t="s">
        <v>54</v>
      </c>
      <c r="E515" t="s">
        <v>143</v>
      </c>
      <c r="F515" s="1" t="s">
        <v>161</v>
      </c>
      <c r="G515" s="1" t="s">
        <v>162</v>
      </c>
      <c r="H515" s="1" t="s">
        <v>544</v>
      </c>
      <c r="I515">
        <v>26</v>
      </c>
      <c r="J515">
        <v>2</v>
      </c>
      <c r="K515">
        <v>0</v>
      </c>
      <c r="L515" s="11">
        <v>7.6923000000000005E-2</v>
      </c>
      <c r="M515" t="s">
        <v>594</v>
      </c>
      <c r="N515" s="12">
        <v>1</v>
      </c>
      <c r="O515" s="12">
        <v>3</v>
      </c>
      <c r="P515" s="12">
        <v>3</v>
      </c>
      <c r="Q515" s="12">
        <v>1</v>
      </c>
      <c r="R515" s="12">
        <v>2</v>
      </c>
      <c r="S515" s="12">
        <v>2</v>
      </c>
      <c r="T515" s="1" t="s">
        <v>602</v>
      </c>
      <c r="U515" s="1" t="s">
        <v>596</v>
      </c>
      <c r="V515">
        <v>20260719</v>
      </c>
      <c r="W515">
        <v>46222.653275462966</v>
      </c>
    </row>
    <row r="516" spans="1:23" ht="30">
      <c r="A516" t="s">
        <v>543</v>
      </c>
      <c r="B516" t="s">
        <v>160</v>
      </c>
      <c r="C516" t="s">
        <v>23</v>
      </c>
      <c r="D516" t="s">
        <v>54</v>
      </c>
      <c r="E516" t="s">
        <v>143</v>
      </c>
      <c r="F516" s="1" t="s">
        <v>161</v>
      </c>
      <c r="G516" s="1" t="s">
        <v>162</v>
      </c>
      <c r="H516" s="1" t="s">
        <v>544</v>
      </c>
      <c r="I516">
        <v>26</v>
      </c>
      <c r="J516">
        <v>2</v>
      </c>
      <c r="K516">
        <v>0</v>
      </c>
      <c r="L516" s="11">
        <v>7.6923000000000005E-2</v>
      </c>
      <c r="M516" t="s">
        <v>597</v>
      </c>
      <c r="N516" s="12">
        <v>1</v>
      </c>
      <c r="O516" s="12">
        <v>2</v>
      </c>
      <c r="P516" s="12">
        <v>2</v>
      </c>
      <c r="Q516" s="12">
        <v>2</v>
      </c>
      <c r="R516" s="12">
        <v>2</v>
      </c>
      <c r="S516" s="12">
        <v>2</v>
      </c>
      <c r="T516" s="1" t="s">
        <v>602</v>
      </c>
      <c r="U516" s="1" t="s">
        <v>596</v>
      </c>
      <c r="V516">
        <v>20260719</v>
      </c>
      <c r="W516">
        <v>46222.653275462966</v>
      </c>
    </row>
    <row r="517" spans="1:23" ht="30">
      <c r="A517" t="s">
        <v>543</v>
      </c>
      <c r="B517" t="s">
        <v>160</v>
      </c>
      <c r="C517" t="s">
        <v>23</v>
      </c>
      <c r="D517" t="s">
        <v>54</v>
      </c>
      <c r="E517" t="s">
        <v>143</v>
      </c>
      <c r="F517" s="1" t="s">
        <v>161</v>
      </c>
      <c r="G517" s="1" t="s">
        <v>162</v>
      </c>
      <c r="H517" s="1" t="s">
        <v>544</v>
      </c>
      <c r="I517">
        <v>26</v>
      </c>
      <c r="J517">
        <v>2</v>
      </c>
      <c r="K517">
        <v>0</v>
      </c>
      <c r="L517" s="11">
        <v>7.6923000000000005E-2</v>
      </c>
      <c r="M517" t="s">
        <v>598</v>
      </c>
      <c r="N517" s="12">
        <v>2</v>
      </c>
      <c r="O517" s="12">
        <v>2</v>
      </c>
      <c r="P517" s="12">
        <v>2</v>
      </c>
      <c r="Q517" s="12">
        <v>2</v>
      </c>
      <c r="R517" s="12">
        <v>2</v>
      </c>
      <c r="S517" s="12">
        <v>3</v>
      </c>
      <c r="T517" s="1" t="s">
        <v>602</v>
      </c>
      <c r="U517" s="1" t="s">
        <v>596</v>
      </c>
      <c r="V517">
        <v>20260719</v>
      </c>
      <c r="W517">
        <v>46222.653275462966</v>
      </c>
    </row>
    <row r="518" spans="1:23" ht="45">
      <c r="A518" t="s">
        <v>545</v>
      </c>
      <c r="B518" t="s">
        <v>165</v>
      </c>
      <c r="C518" t="s">
        <v>23</v>
      </c>
      <c r="D518" t="s">
        <v>54</v>
      </c>
      <c r="E518" t="s">
        <v>166</v>
      </c>
      <c r="F518" s="1" t="s">
        <v>167</v>
      </c>
      <c r="G518" s="1" t="s">
        <v>168</v>
      </c>
      <c r="H518" s="1" t="s">
        <v>546</v>
      </c>
      <c r="I518">
        <v>30</v>
      </c>
      <c r="J518">
        <v>1</v>
      </c>
      <c r="K518">
        <v>0</v>
      </c>
      <c r="L518" s="11">
        <v>3.3333000000000002E-2</v>
      </c>
      <c r="M518" t="s">
        <v>594</v>
      </c>
      <c r="N518" s="12">
        <v>1</v>
      </c>
      <c r="O518" s="12">
        <v>3</v>
      </c>
      <c r="P518" s="12">
        <v>3</v>
      </c>
      <c r="Q518" s="12">
        <v>1</v>
      </c>
      <c r="R518" s="12">
        <v>3</v>
      </c>
      <c r="S518" s="12">
        <v>3</v>
      </c>
      <c r="T518" s="1" t="s">
        <v>602</v>
      </c>
      <c r="U518" s="1" t="s">
        <v>596</v>
      </c>
      <c r="V518">
        <v>20260719</v>
      </c>
      <c r="W518">
        <v>46222.653275462966</v>
      </c>
    </row>
    <row r="519" spans="1:23" ht="45">
      <c r="A519" t="s">
        <v>545</v>
      </c>
      <c r="B519" t="s">
        <v>165</v>
      </c>
      <c r="C519" t="s">
        <v>23</v>
      </c>
      <c r="D519" t="s">
        <v>54</v>
      </c>
      <c r="E519" t="s">
        <v>166</v>
      </c>
      <c r="F519" s="1" t="s">
        <v>167</v>
      </c>
      <c r="G519" s="1" t="s">
        <v>168</v>
      </c>
      <c r="H519" s="1" t="s">
        <v>546</v>
      </c>
      <c r="I519">
        <v>30</v>
      </c>
      <c r="J519">
        <v>1</v>
      </c>
      <c r="K519">
        <v>0</v>
      </c>
      <c r="L519" s="11">
        <v>3.3333000000000002E-2</v>
      </c>
      <c r="M519" t="s">
        <v>597</v>
      </c>
      <c r="N519" s="12">
        <v>2</v>
      </c>
      <c r="O519" s="12">
        <v>3</v>
      </c>
      <c r="P519" s="12">
        <v>3</v>
      </c>
      <c r="Q519" s="12">
        <v>1</v>
      </c>
      <c r="R519" s="12">
        <v>3</v>
      </c>
      <c r="S519" s="12">
        <v>3</v>
      </c>
      <c r="T519" s="1" t="s">
        <v>602</v>
      </c>
      <c r="U519" s="1" t="s">
        <v>596</v>
      </c>
      <c r="V519">
        <v>20260719</v>
      </c>
      <c r="W519">
        <v>46222.653275462966</v>
      </c>
    </row>
    <row r="520" spans="1:23" ht="45">
      <c r="A520" t="s">
        <v>545</v>
      </c>
      <c r="B520" t="s">
        <v>165</v>
      </c>
      <c r="C520" t="s">
        <v>23</v>
      </c>
      <c r="D520" t="s">
        <v>54</v>
      </c>
      <c r="E520" t="s">
        <v>166</v>
      </c>
      <c r="F520" s="1" t="s">
        <v>167</v>
      </c>
      <c r="G520" s="1" t="s">
        <v>168</v>
      </c>
      <c r="H520" s="1" t="s">
        <v>546</v>
      </c>
      <c r="I520">
        <v>30</v>
      </c>
      <c r="J520">
        <v>1</v>
      </c>
      <c r="K520">
        <v>0</v>
      </c>
      <c r="L520" s="11">
        <v>3.3333000000000002E-2</v>
      </c>
      <c r="M520" t="s">
        <v>598</v>
      </c>
      <c r="N520" s="12">
        <v>1</v>
      </c>
      <c r="O520" s="12">
        <v>3</v>
      </c>
      <c r="P520" s="12">
        <v>3</v>
      </c>
      <c r="Q520" s="12">
        <v>2</v>
      </c>
      <c r="R520" s="12">
        <v>3</v>
      </c>
      <c r="S520" s="12">
        <v>3</v>
      </c>
      <c r="T520" s="1" t="s">
        <v>602</v>
      </c>
      <c r="U520" s="1" t="s">
        <v>596</v>
      </c>
      <c r="V520">
        <v>20260719</v>
      </c>
      <c r="W520">
        <v>46222.653275462966</v>
      </c>
    </row>
    <row r="521" spans="1:23" ht="30">
      <c r="A521" t="s">
        <v>547</v>
      </c>
      <c r="B521" t="s">
        <v>171</v>
      </c>
      <c r="C521" t="s">
        <v>23</v>
      </c>
      <c r="D521" t="s">
        <v>54</v>
      </c>
      <c r="E521" t="s">
        <v>166</v>
      </c>
      <c r="F521" s="1" t="s">
        <v>172</v>
      </c>
      <c r="G521" s="1" t="s">
        <v>173</v>
      </c>
      <c r="H521" s="1" t="s">
        <v>548</v>
      </c>
      <c r="I521">
        <v>27</v>
      </c>
      <c r="J521">
        <v>2</v>
      </c>
      <c r="K521">
        <v>0</v>
      </c>
      <c r="L521" s="11">
        <v>7.4074000000000001E-2</v>
      </c>
      <c r="M521" t="s">
        <v>594</v>
      </c>
      <c r="N521" s="12">
        <v>1</v>
      </c>
      <c r="O521" s="12">
        <v>3</v>
      </c>
      <c r="P521" s="12">
        <v>3</v>
      </c>
      <c r="Q521" s="12">
        <v>2</v>
      </c>
      <c r="R521" s="12">
        <v>3</v>
      </c>
      <c r="S521" s="12">
        <v>3</v>
      </c>
      <c r="T521" s="1" t="s">
        <v>602</v>
      </c>
      <c r="U521" s="1" t="s">
        <v>596</v>
      </c>
      <c r="V521">
        <v>20260719</v>
      </c>
      <c r="W521">
        <v>46222.653275462966</v>
      </c>
    </row>
    <row r="522" spans="1:23" ht="30">
      <c r="A522" t="s">
        <v>547</v>
      </c>
      <c r="B522" t="s">
        <v>171</v>
      </c>
      <c r="C522" t="s">
        <v>23</v>
      </c>
      <c r="D522" t="s">
        <v>54</v>
      </c>
      <c r="E522" t="s">
        <v>166</v>
      </c>
      <c r="F522" s="1" t="s">
        <v>172</v>
      </c>
      <c r="G522" s="1" t="s">
        <v>173</v>
      </c>
      <c r="H522" s="1" t="s">
        <v>548</v>
      </c>
      <c r="I522">
        <v>27</v>
      </c>
      <c r="J522">
        <v>2</v>
      </c>
      <c r="K522">
        <v>0</v>
      </c>
      <c r="L522" s="11">
        <v>7.4074000000000001E-2</v>
      </c>
      <c r="M522" t="s">
        <v>597</v>
      </c>
      <c r="N522" s="12">
        <v>1</v>
      </c>
      <c r="O522" s="12">
        <v>3</v>
      </c>
      <c r="P522" s="12">
        <v>3</v>
      </c>
      <c r="Q522" s="12">
        <v>2</v>
      </c>
      <c r="R522" s="12">
        <v>3</v>
      </c>
      <c r="S522" s="12">
        <v>3</v>
      </c>
      <c r="T522" s="1" t="s">
        <v>602</v>
      </c>
      <c r="U522" s="1" t="s">
        <v>596</v>
      </c>
      <c r="V522">
        <v>20260719</v>
      </c>
      <c r="W522">
        <v>46222.653275462966</v>
      </c>
    </row>
    <row r="523" spans="1:23" ht="30">
      <c r="A523" t="s">
        <v>547</v>
      </c>
      <c r="B523" t="s">
        <v>171</v>
      </c>
      <c r="C523" t="s">
        <v>23</v>
      </c>
      <c r="D523" t="s">
        <v>54</v>
      </c>
      <c r="E523" t="s">
        <v>166</v>
      </c>
      <c r="F523" s="1" t="s">
        <v>172</v>
      </c>
      <c r="G523" s="1" t="s">
        <v>173</v>
      </c>
      <c r="H523" s="1" t="s">
        <v>548</v>
      </c>
      <c r="I523">
        <v>27</v>
      </c>
      <c r="J523">
        <v>2</v>
      </c>
      <c r="K523">
        <v>0</v>
      </c>
      <c r="L523" s="11">
        <v>7.4074000000000001E-2</v>
      </c>
      <c r="M523" t="s">
        <v>598</v>
      </c>
      <c r="N523" s="12">
        <v>1</v>
      </c>
      <c r="O523" s="12">
        <v>3</v>
      </c>
      <c r="P523" s="12">
        <v>3</v>
      </c>
      <c r="Q523" s="12">
        <v>2</v>
      </c>
      <c r="R523" s="12">
        <v>3</v>
      </c>
      <c r="S523" s="12">
        <v>3</v>
      </c>
      <c r="T523" s="1" t="s">
        <v>602</v>
      </c>
      <c r="U523" s="1" t="s">
        <v>596</v>
      </c>
      <c r="V523">
        <v>20260719</v>
      </c>
      <c r="W523">
        <v>46222.653275462966</v>
      </c>
    </row>
    <row r="524" spans="1:23" ht="30">
      <c r="A524" t="s">
        <v>549</v>
      </c>
      <c r="B524" t="s">
        <v>176</v>
      </c>
      <c r="C524" t="s">
        <v>23</v>
      </c>
      <c r="D524" t="s">
        <v>54</v>
      </c>
      <c r="E524" t="s">
        <v>166</v>
      </c>
      <c r="F524" s="1" t="s">
        <v>177</v>
      </c>
      <c r="G524" s="1" t="s">
        <v>178</v>
      </c>
      <c r="H524" s="1" t="s">
        <v>550</v>
      </c>
      <c r="I524">
        <v>27</v>
      </c>
      <c r="J524">
        <v>2</v>
      </c>
      <c r="K524">
        <v>0</v>
      </c>
      <c r="L524" s="11">
        <v>7.4074000000000001E-2</v>
      </c>
      <c r="M524" t="s">
        <v>594</v>
      </c>
      <c r="N524" s="12">
        <v>3</v>
      </c>
      <c r="O524" s="12">
        <v>2</v>
      </c>
      <c r="P524" s="12">
        <v>3</v>
      </c>
      <c r="Q524" s="12">
        <v>3</v>
      </c>
      <c r="R524" s="12">
        <v>3</v>
      </c>
      <c r="S524" s="12">
        <v>3</v>
      </c>
      <c r="T524" s="1" t="s">
        <v>602</v>
      </c>
      <c r="U524" s="1" t="s">
        <v>596</v>
      </c>
      <c r="V524">
        <v>20260719</v>
      </c>
      <c r="W524">
        <v>46222.653275462966</v>
      </c>
    </row>
    <row r="525" spans="1:23" ht="30">
      <c r="A525" t="s">
        <v>549</v>
      </c>
      <c r="B525" t="s">
        <v>176</v>
      </c>
      <c r="C525" t="s">
        <v>23</v>
      </c>
      <c r="D525" t="s">
        <v>54</v>
      </c>
      <c r="E525" t="s">
        <v>166</v>
      </c>
      <c r="F525" s="1" t="s">
        <v>177</v>
      </c>
      <c r="G525" s="1" t="s">
        <v>178</v>
      </c>
      <c r="H525" s="1" t="s">
        <v>550</v>
      </c>
      <c r="I525">
        <v>27</v>
      </c>
      <c r="J525">
        <v>2</v>
      </c>
      <c r="K525">
        <v>0</v>
      </c>
      <c r="L525" s="11">
        <v>7.4074000000000001E-2</v>
      </c>
      <c r="M525" t="s">
        <v>597</v>
      </c>
      <c r="N525" s="12">
        <v>3</v>
      </c>
      <c r="O525" s="12">
        <v>3</v>
      </c>
      <c r="P525" s="12">
        <v>3</v>
      </c>
      <c r="Q525" s="12">
        <v>3</v>
      </c>
      <c r="R525" s="12">
        <v>3</v>
      </c>
      <c r="S525" s="12">
        <v>3</v>
      </c>
      <c r="T525" s="1" t="s">
        <v>602</v>
      </c>
      <c r="U525" s="1" t="s">
        <v>596</v>
      </c>
      <c r="V525">
        <v>20260719</v>
      </c>
      <c r="W525">
        <v>46222.653275462966</v>
      </c>
    </row>
    <row r="526" spans="1:23" ht="30">
      <c r="A526" t="s">
        <v>549</v>
      </c>
      <c r="B526" t="s">
        <v>176</v>
      </c>
      <c r="C526" t="s">
        <v>23</v>
      </c>
      <c r="D526" t="s">
        <v>54</v>
      </c>
      <c r="E526" t="s">
        <v>166</v>
      </c>
      <c r="F526" s="1" t="s">
        <v>177</v>
      </c>
      <c r="G526" s="1" t="s">
        <v>178</v>
      </c>
      <c r="H526" s="1" t="s">
        <v>550</v>
      </c>
      <c r="I526">
        <v>27</v>
      </c>
      <c r="J526">
        <v>2</v>
      </c>
      <c r="K526">
        <v>0</v>
      </c>
      <c r="L526" s="11">
        <v>7.4074000000000001E-2</v>
      </c>
      <c r="M526" t="s">
        <v>598</v>
      </c>
      <c r="N526" s="12">
        <v>3</v>
      </c>
      <c r="O526" s="12">
        <v>3</v>
      </c>
      <c r="P526" s="12">
        <v>3</v>
      </c>
      <c r="Q526" s="12">
        <v>3</v>
      </c>
      <c r="R526" s="12">
        <v>3</v>
      </c>
      <c r="S526" s="12">
        <v>3</v>
      </c>
      <c r="T526" s="1" t="s">
        <v>602</v>
      </c>
      <c r="U526" s="1" t="s">
        <v>596</v>
      </c>
      <c r="V526">
        <v>20260719</v>
      </c>
      <c r="W526">
        <v>46222.653275462966</v>
      </c>
    </row>
    <row r="527" spans="1:23" ht="30">
      <c r="A527" t="s">
        <v>551</v>
      </c>
      <c r="B527" t="s">
        <v>181</v>
      </c>
      <c r="C527" t="s">
        <v>23</v>
      </c>
      <c r="D527" t="s">
        <v>54</v>
      </c>
      <c r="E527" t="s">
        <v>166</v>
      </c>
      <c r="F527" s="1" t="s">
        <v>182</v>
      </c>
      <c r="G527" s="1" t="s">
        <v>183</v>
      </c>
      <c r="H527" s="1" t="s">
        <v>552</v>
      </c>
      <c r="I527">
        <v>25</v>
      </c>
      <c r="J527">
        <v>2</v>
      </c>
      <c r="K527">
        <v>0</v>
      </c>
      <c r="L527" s="11">
        <v>0.08</v>
      </c>
      <c r="M527" t="s">
        <v>594</v>
      </c>
      <c r="N527" s="12">
        <v>3</v>
      </c>
      <c r="O527" s="12">
        <v>3</v>
      </c>
      <c r="P527" s="12">
        <v>3</v>
      </c>
      <c r="Q527" s="12">
        <v>3</v>
      </c>
      <c r="R527" s="12">
        <v>3</v>
      </c>
      <c r="S527" s="12">
        <v>3</v>
      </c>
      <c r="T527" s="1" t="s">
        <v>602</v>
      </c>
      <c r="U527" s="1" t="s">
        <v>596</v>
      </c>
      <c r="V527">
        <v>20260719</v>
      </c>
      <c r="W527">
        <v>46222.653275462966</v>
      </c>
    </row>
    <row r="528" spans="1:23" ht="30">
      <c r="A528" t="s">
        <v>551</v>
      </c>
      <c r="B528" t="s">
        <v>181</v>
      </c>
      <c r="C528" t="s">
        <v>23</v>
      </c>
      <c r="D528" t="s">
        <v>54</v>
      </c>
      <c r="E528" t="s">
        <v>166</v>
      </c>
      <c r="F528" s="1" t="s">
        <v>182</v>
      </c>
      <c r="G528" s="1" t="s">
        <v>183</v>
      </c>
      <c r="H528" s="1" t="s">
        <v>552</v>
      </c>
      <c r="I528">
        <v>25</v>
      </c>
      <c r="J528">
        <v>2</v>
      </c>
      <c r="K528">
        <v>0</v>
      </c>
      <c r="L528" s="11">
        <v>0.08</v>
      </c>
      <c r="M528" t="s">
        <v>597</v>
      </c>
      <c r="N528" s="12">
        <v>2</v>
      </c>
      <c r="O528" s="12">
        <v>3</v>
      </c>
      <c r="P528" s="12">
        <v>3</v>
      </c>
      <c r="Q528" s="12">
        <v>3</v>
      </c>
      <c r="R528" s="12">
        <v>3</v>
      </c>
      <c r="S528" s="12">
        <v>3</v>
      </c>
      <c r="T528" s="1" t="s">
        <v>602</v>
      </c>
      <c r="U528" s="1" t="s">
        <v>596</v>
      </c>
      <c r="V528">
        <v>20260719</v>
      </c>
      <c r="W528">
        <v>46222.653275462966</v>
      </c>
    </row>
    <row r="529" spans="1:23" ht="30">
      <c r="A529" t="s">
        <v>551</v>
      </c>
      <c r="B529" t="s">
        <v>181</v>
      </c>
      <c r="C529" t="s">
        <v>23</v>
      </c>
      <c r="D529" t="s">
        <v>54</v>
      </c>
      <c r="E529" t="s">
        <v>166</v>
      </c>
      <c r="F529" s="1" t="s">
        <v>182</v>
      </c>
      <c r="G529" s="1" t="s">
        <v>183</v>
      </c>
      <c r="H529" s="1" t="s">
        <v>552</v>
      </c>
      <c r="I529">
        <v>25</v>
      </c>
      <c r="J529">
        <v>2</v>
      </c>
      <c r="K529">
        <v>0</v>
      </c>
      <c r="L529" s="11">
        <v>0.08</v>
      </c>
      <c r="M529" t="s">
        <v>598</v>
      </c>
      <c r="N529" s="12">
        <v>3</v>
      </c>
      <c r="O529" s="12">
        <v>3</v>
      </c>
      <c r="P529" s="12">
        <v>3</v>
      </c>
      <c r="Q529" s="12">
        <v>3</v>
      </c>
      <c r="R529" s="12">
        <v>3</v>
      </c>
      <c r="S529" s="12">
        <v>3</v>
      </c>
      <c r="T529" s="1" t="s">
        <v>602</v>
      </c>
      <c r="U529" s="1" t="s">
        <v>596</v>
      </c>
      <c r="V529">
        <v>20260719</v>
      </c>
      <c r="W529">
        <v>46222.653275462966</v>
      </c>
    </row>
    <row r="530" spans="1:23" ht="30">
      <c r="A530" t="s">
        <v>553</v>
      </c>
      <c r="B530" t="s">
        <v>186</v>
      </c>
      <c r="C530" t="s">
        <v>23</v>
      </c>
      <c r="D530" t="s">
        <v>54</v>
      </c>
      <c r="E530" t="s">
        <v>187</v>
      </c>
      <c r="F530" s="1" t="s">
        <v>188</v>
      </c>
      <c r="G530" s="1" t="s">
        <v>189</v>
      </c>
      <c r="H530" s="1" t="s">
        <v>554</v>
      </c>
      <c r="I530">
        <v>32</v>
      </c>
      <c r="J530">
        <v>2</v>
      </c>
      <c r="K530">
        <v>0</v>
      </c>
      <c r="L530" s="11">
        <v>6.25E-2</v>
      </c>
      <c r="M530" t="s">
        <v>594</v>
      </c>
      <c r="N530" s="12">
        <v>3</v>
      </c>
      <c r="O530" s="12">
        <v>2</v>
      </c>
      <c r="P530" s="12">
        <v>3</v>
      </c>
      <c r="Q530" s="12">
        <v>2</v>
      </c>
      <c r="R530" s="12">
        <v>2</v>
      </c>
      <c r="S530" s="12">
        <v>3</v>
      </c>
      <c r="T530" s="1" t="s">
        <v>602</v>
      </c>
      <c r="U530" s="1" t="s">
        <v>596</v>
      </c>
      <c r="V530">
        <v>20260719</v>
      </c>
      <c r="W530">
        <v>46222.653275462966</v>
      </c>
    </row>
    <row r="531" spans="1:23" ht="30">
      <c r="A531" t="s">
        <v>553</v>
      </c>
      <c r="B531" t="s">
        <v>186</v>
      </c>
      <c r="C531" t="s">
        <v>23</v>
      </c>
      <c r="D531" t="s">
        <v>54</v>
      </c>
      <c r="E531" t="s">
        <v>187</v>
      </c>
      <c r="F531" s="1" t="s">
        <v>188</v>
      </c>
      <c r="G531" s="1" t="s">
        <v>189</v>
      </c>
      <c r="H531" s="1" t="s">
        <v>554</v>
      </c>
      <c r="I531">
        <v>32</v>
      </c>
      <c r="J531">
        <v>2</v>
      </c>
      <c r="K531">
        <v>0</v>
      </c>
      <c r="L531" s="11">
        <v>6.25E-2</v>
      </c>
      <c r="M531" t="s">
        <v>597</v>
      </c>
      <c r="N531" s="12">
        <v>2</v>
      </c>
      <c r="O531" s="12">
        <v>2</v>
      </c>
      <c r="P531" s="12">
        <v>2</v>
      </c>
      <c r="Q531" s="12">
        <v>2</v>
      </c>
      <c r="R531" s="12">
        <v>2</v>
      </c>
      <c r="S531" s="12">
        <v>3</v>
      </c>
      <c r="T531" s="1" t="s">
        <v>602</v>
      </c>
      <c r="U531" s="1" t="s">
        <v>596</v>
      </c>
      <c r="V531">
        <v>20260719</v>
      </c>
      <c r="W531">
        <v>46222.653275462966</v>
      </c>
    </row>
    <row r="532" spans="1:23" ht="30">
      <c r="A532" t="s">
        <v>553</v>
      </c>
      <c r="B532" t="s">
        <v>186</v>
      </c>
      <c r="C532" t="s">
        <v>23</v>
      </c>
      <c r="D532" t="s">
        <v>54</v>
      </c>
      <c r="E532" t="s">
        <v>187</v>
      </c>
      <c r="F532" s="1" t="s">
        <v>188</v>
      </c>
      <c r="G532" s="1" t="s">
        <v>189</v>
      </c>
      <c r="H532" s="1" t="s">
        <v>554</v>
      </c>
      <c r="I532">
        <v>32</v>
      </c>
      <c r="J532">
        <v>2</v>
      </c>
      <c r="K532">
        <v>0</v>
      </c>
      <c r="L532" s="11">
        <v>6.25E-2</v>
      </c>
      <c r="M532" t="s">
        <v>598</v>
      </c>
      <c r="N532" s="12">
        <v>2</v>
      </c>
      <c r="O532" s="12">
        <v>2</v>
      </c>
      <c r="P532" s="12">
        <v>3</v>
      </c>
      <c r="Q532" s="12">
        <v>2</v>
      </c>
      <c r="R532" s="12">
        <v>2</v>
      </c>
      <c r="S532" s="12">
        <v>2</v>
      </c>
      <c r="T532" s="1" t="s">
        <v>602</v>
      </c>
      <c r="U532" s="1" t="s">
        <v>596</v>
      </c>
      <c r="V532">
        <v>20260719</v>
      </c>
      <c r="W532">
        <v>46222.653275462966</v>
      </c>
    </row>
    <row r="533" spans="1:23" ht="30">
      <c r="A533" t="s">
        <v>555</v>
      </c>
      <c r="B533" t="s">
        <v>192</v>
      </c>
      <c r="C533" t="s">
        <v>23</v>
      </c>
      <c r="D533" t="s">
        <v>54</v>
      </c>
      <c r="E533" t="s">
        <v>187</v>
      </c>
      <c r="F533" s="1" t="s">
        <v>193</v>
      </c>
      <c r="G533" s="1" t="s">
        <v>194</v>
      </c>
      <c r="H533" s="1" t="s">
        <v>556</v>
      </c>
      <c r="I533">
        <v>26</v>
      </c>
      <c r="J533">
        <v>1</v>
      </c>
      <c r="K533">
        <v>0</v>
      </c>
      <c r="L533" s="11">
        <v>3.8462000000000003E-2</v>
      </c>
      <c r="M533" t="s">
        <v>594</v>
      </c>
      <c r="N533" s="12">
        <v>3</v>
      </c>
      <c r="O533" s="12">
        <v>2</v>
      </c>
      <c r="P533" s="12">
        <v>2</v>
      </c>
      <c r="Q533" s="12">
        <v>2</v>
      </c>
      <c r="R533" s="12">
        <v>3</v>
      </c>
      <c r="S533" s="12">
        <v>3</v>
      </c>
      <c r="T533" s="1" t="s">
        <v>602</v>
      </c>
      <c r="U533" s="1" t="s">
        <v>596</v>
      </c>
      <c r="V533">
        <v>20260719</v>
      </c>
      <c r="W533">
        <v>46222.653275462966</v>
      </c>
    </row>
    <row r="534" spans="1:23" ht="30">
      <c r="A534" t="s">
        <v>555</v>
      </c>
      <c r="B534" t="s">
        <v>192</v>
      </c>
      <c r="C534" t="s">
        <v>23</v>
      </c>
      <c r="D534" t="s">
        <v>54</v>
      </c>
      <c r="E534" t="s">
        <v>187</v>
      </c>
      <c r="F534" s="1" t="s">
        <v>193</v>
      </c>
      <c r="G534" s="1" t="s">
        <v>194</v>
      </c>
      <c r="H534" s="1" t="s">
        <v>556</v>
      </c>
      <c r="I534">
        <v>26</v>
      </c>
      <c r="J534">
        <v>1</v>
      </c>
      <c r="K534">
        <v>0</v>
      </c>
      <c r="L534" s="11">
        <v>3.8462000000000003E-2</v>
      </c>
      <c r="M534" t="s">
        <v>597</v>
      </c>
      <c r="N534" s="12">
        <v>3</v>
      </c>
      <c r="O534" s="12">
        <v>2</v>
      </c>
      <c r="P534" s="12">
        <v>2</v>
      </c>
      <c r="Q534" s="12">
        <v>3</v>
      </c>
      <c r="R534" s="12">
        <v>2</v>
      </c>
      <c r="S534" s="12">
        <v>3</v>
      </c>
      <c r="T534" s="1" t="s">
        <v>602</v>
      </c>
      <c r="U534" s="1" t="s">
        <v>596</v>
      </c>
      <c r="V534">
        <v>20260719</v>
      </c>
      <c r="W534">
        <v>46222.653275462966</v>
      </c>
    </row>
    <row r="535" spans="1:23" ht="30">
      <c r="A535" t="s">
        <v>555</v>
      </c>
      <c r="B535" t="s">
        <v>192</v>
      </c>
      <c r="C535" t="s">
        <v>23</v>
      </c>
      <c r="D535" t="s">
        <v>54</v>
      </c>
      <c r="E535" t="s">
        <v>187</v>
      </c>
      <c r="F535" s="1" t="s">
        <v>193</v>
      </c>
      <c r="G535" s="1" t="s">
        <v>194</v>
      </c>
      <c r="H535" s="1" t="s">
        <v>556</v>
      </c>
      <c r="I535">
        <v>26</v>
      </c>
      <c r="J535">
        <v>1</v>
      </c>
      <c r="K535">
        <v>0</v>
      </c>
      <c r="L535" s="11">
        <v>3.8462000000000003E-2</v>
      </c>
      <c r="M535" t="s">
        <v>598</v>
      </c>
      <c r="N535" s="12">
        <v>3</v>
      </c>
      <c r="O535" s="12">
        <v>2</v>
      </c>
      <c r="P535" s="12">
        <v>2</v>
      </c>
      <c r="Q535" s="12">
        <v>2</v>
      </c>
      <c r="R535" s="12">
        <v>3</v>
      </c>
      <c r="S535" s="12">
        <v>3</v>
      </c>
      <c r="T535" s="1" t="s">
        <v>602</v>
      </c>
      <c r="U535" s="1" t="s">
        <v>596</v>
      </c>
      <c r="V535">
        <v>20260719</v>
      </c>
      <c r="W535">
        <v>46222.653275462966</v>
      </c>
    </row>
    <row r="536" spans="1:23" ht="45">
      <c r="A536" t="s">
        <v>557</v>
      </c>
      <c r="B536" t="s">
        <v>197</v>
      </c>
      <c r="C536" t="s">
        <v>23</v>
      </c>
      <c r="D536" t="s">
        <v>54</v>
      </c>
      <c r="E536" t="s">
        <v>187</v>
      </c>
      <c r="F536" s="1" t="s">
        <v>198</v>
      </c>
      <c r="G536" s="1" t="s">
        <v>199</v>
      </c>
      <c r="H536" s="1" t="s">
        <v>558</v>
      </c>
      <c r="I536">
        <v>28</v>
      </c>
      <c r="J536">
        <v>2</v>
      </c>
      <c r="K536">
        <v>0</v>
      </c>
      <c r="L536" s="11">
        <v>7.1429000000000006E-2</v>
      </c>
      <c r="M536" t="s">
        <v>594</v>
      </c>
      <c r="N536" s="12">
        <v>2</v>
      </c>
      <c r="O536" s="12">
        <v>3</v>
      </c>
      <c r="P536" s="12">
        <v>3</v>
      </c>
      <c r="Q536" s="12">
        <v>3</v>
      </c>
      <c r="R536" s="12">
        <v>3</v>
      </c>
      <c r="S536" s="12">
        <v>3</v>
      </c>
      <c r="T536" s="1" t="s">
        <v>602</v>
      </c>
      <c r="U536" s="1" t="s">
        <v>596</v>
      </c>
      <c r="V536">
        <v>20260719</v>
      </c>
      <c r="W536">
        <v>46222.653275462966</v>
      </c>
    </row>
    <row r="537" spans="1:23" ht="45">
      <c r="A537" t="s">
        <v>557</v>
      </c>
      <c r="B537" t="s">
        <v>197</v>
      </c>
      <c r="C537" t="s">
        <v>23</v>
      </c>
      <c r="D537" t="s">
        <v>54</v>
      </c>
      <c r="E537" t="s">
        <v>187</v>
      </c>
      <c r="F537" s="1" t="s">
        <v>198</v>
      </c>
      <c r="G537" s="1" t="s">
        <v>199</v>
      </c>
      <c r="H537" s="1" t="s">
        <v>558</v>
      </c>
      <c r="I537">
        <v>28</v>
      </c>
      <c r="J537">
        <v>2</v>
      </c>
      <c r="K537">
        <v>0</v>
      </c>
      <c r="L537" s="11">
        <v>7.1429000000000006E-2</v>
      </c>
      <c r="M537" t="s">
        <v>597</v>
      </c>
      <c r="N537" s="12">
        <v>3</v>
      </c>
      <c r="O537" s="12">
        <v>3</v>
      </c>
      <c r="P537" s="12">
        <v>3</v>
      </c>
      <c r="Q537" s="12">
        <v>3</v>
      </c>
      <c r="R537" s="12">
        <v>3</v>
      </c>
      <c r="S537" s="12">
        <v>3</v>
      </c>
      <c r="T537" s="1" t="s">
        <v>602</v>
      </c>
      <c r="U537" s="1" t="s">
        <v>596</v>
      </c>
      <c r="V537">
        <v>20260719</v>
      </c>
      <c r="W537">
        <v>46222.653275462966</v>
      </c>
    </row>
    <row r="538" spans="1:23" ht="45">
      <c r="A538" t="s">
        <v>557</v>
      </c>
      <c r="B538" t="s">
        <v>197</v>
      </c>
      <c r="C538" t="s">
        <v>23</v>
      </c>
      <c r="D538" t="s">
        <v>54</v>
      </c>
      <c r="E538" t="s">
        <v>187</v>
      </c>
      <c r="F538" s="1" t="s">
        <v>198</v>
      </c>
      <c r="G538" s="1" t="s">
        <v>199</v>
      </c>
      <c r="H538" s="1" t="s">
        <v>558</v>
      </c>
      <c r="I538">
        <v>28</v>
      </c>
      <c r="J538">
        <v>2</v>
      </c>
      <c r="K538">
        <v>0</v>
      </c>
      <c r="L538" s="11">
        <v>7.1429000000000006E-2</v>
      </c>
      <c r="M538" t="s">
        <v>598</v>
      </c>
      <c r="N538" s="12">
        <v>3</v>
      </c>
      <c r="O538" s="12">
        <v>3</v>
      </c>
      <c r="P538" s="12">
        <v>3</v>
      </c>
      <c r="Q538" s="12">
        <v>3</v>
      </c>
      <c r="R538" s="12">
        <v>3</v>
      </c>
      <c r="S538" s="12">
        <v>3</v>
      </c>
      <c r="T538" s="1" t="s">
        <v>602</v>
      </c>
      <c r="U538" s="1" t="s">
        <v>596</v>
      </c>
      <c r="V538">
        <v>20260719</v>
      </c>
      <c r="W538">
        <v>46222.653275462966</v>
      </c>
    </row>
    <row r="539" spans="1:23" ht="30">
      <c r="A539" t="s">
        <v>559</v>
      </c>
      <c r="B539" t="s">
        <v>202</v>
      </c>
      <c r="C539" t="s">
        <v>23</v>
      </c>
      <c r="D539" t="s">
        <v>54</v>
      </c>
      <c r="E539" t="s">
        <v>187</v>
      </c>
      <c r="F539" s="1" t="s">
        <v>203</v>
      </c>
      <c r="G539" s="1" t="s">
        <v>204</v>
      </c>
      <c r="H539" s="1" t="s">
        <v>560</v>
      </c>
      <c r="I539">
        <v>28</v>
      </c>
      <c r="J539">
        <v>2</v>
      </c>
      <c r="K539">
        <v>0</v>
      </c>
      <c r="L539" s="11">
        <v>7.1429000000000006E-2</v>
      </c>
      <c r="M539" t="s">
        <v>594</v>
      </c>
      <c r="N539" s="12">
        <v>2</v>
      </c>
      <c r="O539" s="12">
        <v>3</v>
      </c>
      <c r="P539" s="12">
        <v>3</v>
      </c>
      <c r="Q539" s="12">
        <v>2</v>
      </c>
      <c r="R539" s="12">
        <v>3</v>
      </c>
      <c r="S539" s="12">
        <v>3</v>
      </c>
      <c r="T539" s="1" t="s">
        <v>602</v>
      </c>
      <c r="U539" s="1" t="s">
        <v>596</v>
      </c>
      <c r="V539">
        <v>20260719</v>
      </c>
      <c r="W539">
        <v>46222.653275462966</v>
      </c>
    </row>
    <row r="540" spans="1:23" ht="30">
      <c r="A540" t="s">
        <v>559</v>
      </c>
      <c r="B540" t="s">
        <v>202</v>
      </c>
      <c r="C540" t="s">
        <v>23</v>
      </c>
      <c r="D540" t="s">
        <v>54</v>
      </c>
      <c r="E540" t="s">
        <v>187</v>
      </c>
      <c r="F540" s="1" t="s">
        <v>203</v>
      </c>
      <c r="G540" s="1" t="s">
        <v>204</v>
      </c>
      <c r="H540" s="1" t="s">
        <v>560</v>
      </c>
      <c r="I540">
        <v>28</v>
      </c>
      <c r="J540">
        <v>2</v>
      </c>
      <c r="K540">
        <v>0</v>
      </c>
      <c r="L540" s="11">
        <v>7.1429000000000006E-2</v>
      </c>
      <c r="M540" t="s">
        <v>597</v>
      </c>
      <c r="N540" s="12">
        <v>2</v>
      </c>
      <c r="O540" s="12">
        <v>3</v>
      </c>
      <c r="P540" s="12">
        <v>3</v>
      </c>
      <c r="Q540" s="12">
        <v>2</v>
      </c>
      <c r="R540" s="12">
        <v>3</v>
      </c>
      <c r="S540" s="12">
        <v>3</v>
      </c>
      <c r="T540" s="1" t="s">
        <v>602</v>
      </c>
      <c r="U540" s="1" t="s">
        <v>596</v>
      </c>
      <c r="V540">
        <v>20260719</v>
      </c>
      <c r="W540">
        <v>46222.653275462966</v>
      </c>
    </row>
    <row r="541" spans="1:23" ht="30">
      <c r="A541" t="s">
        <v>559</v>
      </c>
      <c r="B541" t="s">
        <v>202</v>
      </c>
      <c r="C541" t="s">
        <v>23</v>
      </c>
      <c r="D541" t="s">
        <v>54</v>
      </c>
      <c r="E541" t="s">
        <v>187</v>
      </c>
      <c r="F541" s="1" t="s">
        <v>203</v>
      </c>
      <c r="G541" s="1" t="s">
        <v>204</v>
      </c>
      <c r="H541" s="1" t="s">
        <v>560</v>
      </c>
      <c r="I541">
        <v>28</v>
      </c>
      <c r="J541">
        <v>2</v>
      </c>
      <c r="K541">
        <v>0</v>
      </c>
      <c r="L541" s="11">
        <v>7.1429000000000006E-2</v>
      </c>
      <c r="M541" t="s">
        <v>598</v>
      </c>
      <c r="N541" s="12">
        <v>2</v>
      </c>
      <c r="O541" s="12">
        <v>3</v>
      </c>
      <c r="P541" s="12">
        <v>3</v>
      </c>
      <c r="Q541" s="12">
        <v>2</v>
      </c>
      <c r="R541" s="12">
        <v>3</v>
      </c>
      <c r="S541" s="12">
        <v>3</v>
      </c>
      <c r="T541" s="1" t="s">
        <v>602</v>
      </c>
      <c r="U541" s="1" t="s">
        <v>596</v>
      </c>
      <c r="V541">
        <v>20260719</v>
      </c>
      <c r="W541">
        <v>46222.653275462966</v>
      </c>
    </row>
    <row r="542" spans="1:23" ht="30">
      <c r="A542" t="s">
        <v>561</v>
      </c>
      <c r="B542" t="s">
        <v>207</v>
      </c>
      <c r="C542" t="s">
        <v>23</v>
      </c>
      <c r="D542" t="s">
        <v>54</v>
      </c>
      <c r="E542" t="s">
        <v>208</v>
      </c>
      <c r="F542" s="1" t="s">
        <v>209</v>
      </c>
      <c r="G542" s="1" t="s">
        <v>210</v>
      </c>
      <c r="H542" s="1" t="s">
        <v>562</v>
      </c>
      <c r="I542">
        <v>29</v>
      </c>
      <c r="J542">
        <v>2</v>
      </c>
      <c r="K542">
        <v>0</v>
      </c>
      <c r="L542" s="11">
        <v>6.8966E-2</v>
      </c>
      <c r="M542" t="s">
        <v>594</v>
      </c>
      <c r="N542" s="12">
        <v>2</v>
      </c>
      <c r="O542" s="12">
        <v>2</v>
      </c>
      <c r="P542" s="12">
        <v>2</v>
      </c>
      <c r="Q542" s="12">
        <v>3</v>
      </c>
      <c r="R542" s="12">
        <v>2</v>
      </c>
      <c r="S542" s="12">
        <v>2</v>
      </c>
      <c r="T542" s="1" t="s">
        <v>602</v>
      </c>
      <c r="U542" s="1" t="s">
        <v>596</v>
      </c>
      <c r="V542">
        <v>20260719</v>
      </c>
      <c r="W542">
        <v>46222.653275462966</v>
      </c>
    </row>
    <row r="543" spans="1:23" ht="30">
      <c r="A543" t="s">
        <v>561</v>
      </c>
      <c r="B543" t="s">
        <v>207</v>
      </c>
      <c r="C543" t="s">
        <v>23</v>
      </c>
      <c r="D543" t="s">
        <v>54</v>
      </c>
      <c r="E543" t="s">
        <v>208</v>
      </c>
      <c r="F543" s="1" t="s">
        <v>209</v>
      </c>
      <c r="G543" s="1" t="s">
        <v>210</v>
      </c>
      <c r="H543" s="1" t="s">
        <v>562</v>
      </c>
      <c r="I543">
        <v>29</v>
      </c>
      <c r="J543">
        <v>2</v>
      </c>
      <c r="K543">
        <v>0</v>
      </c>
      <c r="L543" s="11">
        <v>6.8966E-2</v>
      </c>
      <c r="M543" t="s">
        <v>597</v>
      </c>
      <c r="N543" s="12">
        <v>2</v>
      </c>
      <c r="O543" s="12">
        <v>2</v>
      </c>
      <c r="P543" s="12">
        <v>2</v>
      </c>
      <c r="Q543" s="12">
        <v>2</v>
      </c>
      <c r="R543" s="12">
        <v>3</v>
      </c>
      <c r="S543" s="12">
        <v>1</v>
      </c>
      <c r="T543" s="1" t="s">
        <v>602</v>
      </c>
      <c r="U543" s="1" t="s">
        <v>596</v>
      </c>
      <c r="V543">
        <v>20260719</v>
      </c>
      <c r="W543">
        <v>46222.653275462966</v>
      </c>
    </row>
    <row r="544" spans="1:23" ht="30">
      <c r="A544" t="s">
        <v>561</v>
      </c>
      <c r="B544" t="s">
        <v>207</v>
      </c>
      <c r="C544" t="s">
        <v>23</v>
      </c>
      <c r="D544" t="s">
        <v>54</v>
      </c>
      <c r="E544" t="s">
        <v>208</v>
      </c>
      <c r="F544" s="1" t="s">
        <v>209</v>
      </c>
      <c r="G544" s="1" t="s">
        <v>210</v>
      </c>
      <c r="H544" s="1" t="s">
        <v>562</v>
      </c>
      <c r="I544">
        <v>29</v>
      </c>
      <c r="J544">
        <v>2</v>
      </c>
      <c r="K544">
        <v>0</v>
      </c>
      <c r="L544" s="11">
        <v>6.8966E-2</v>
      </c>
      <c r="M544" t="s">
        <v>598</v>
      </c>
      <c r="N544" s="12">
        <v>3</v>
      </c>
      <c r="O544" s="12">
        <v>3</v>
      </c>
      <c r="P544" s="12">
        <v>2</v>
      </c>
      <c r="Q544" s="12">
        <v>3</v>
      </c>
      <c r="R544" s="12">
        <v>3</v>
      </c>
      <c r="S544" s="12">
        <v>2</v>
      </c>
      <c r="T544" s="1" t="s">
        <v>602</v>
      </c>
      <c r="U544" s="1" t="s">
        <v>596</v>
      </c>
      <c r="V544">
        <v>20260719</v>
      </c>
      <c r="W544">
        <v>46222.653275462966</v>
      </c>
    </row>
    <row r="545" spans="1:23" ht="30">
      <c r="A545" t="s">
        <v>563</v>
      </c>
      <c r="B545" t="s">
        <v>213</v>
      </c>
      <c r="C545" t="s">
        <v>23</v>
      </c>
      <c r="D545" t="s">
        <v>54</v>
      </c>
      <c r="E545" t="s">
        <v>208</v>
      </c>
      <c r="F545" s="1" t="s">
        <v>214</v>
      </c>
      <c r="G545" s="1" t="s">
        <v>215</v>
      </c>
      <c r="H545" s="1" t="s">
        <v>564</v>
      </c>
      <c r="I545">
        <v>26</v>
      </c>
      <c r="J545">
        <v>2</v>
      </c>
      <c r="K545">
        <v>0</v>
      </c>
      <c r="L545" s="11">
        <v>7.6923000000000005E-2</v>
      </c>
      <c r="M545" t="s">
        <v>594</v>
      </c>
      <c r="N545" s="12">
        <v>2</v>
      </c>
      <c r="O545" s="12">
        <v>2</v>
      </c>
      <c r="P545" s="12">
        <v>3</v>
      </c>
      <c r="Q545" s="12">
        <v>2</v>
      </c>
      <c r="R545" s="12">
        <v>3</v>
      </c>
      <c r="S545" s="12">
        <v>2</v>
      </c>
      <c r="T545" s="1" t="s">
        <v>602</v>
      </c>
      <c r="U545" s="1" t="s">
        <v>596</v>
      </c>
      <c r="V545">
        <v>20260719</v>
      </c>
      <c r="W545">
        <v>46222.653275462966</v>
      </c>
    </row>
    <row r="546" spans="1:23" ht="30">
      <c r="A546" t="s">
        <v>563</v>
      </c>
      <c r="B546" t="s">
        <v>213</v>
      </c>
      <c r="C546" t="s">
        <v>23</v>
      </c>
      <c r="D546" t="s">
        <v>54</v>
      </c>
      <c r="E546" t="s">
        <v>208</v>
      </c>
      <c r="F546" s="1" t="s">
        <v>214</v>
      </c>
      <c r="G546" s="1" t="s">
        <v>215</v>
      </c>
      <c r="H546" s="1" t="s">
        <v>564</v>
      </c>
      <c r="I546">
        <v>26</v>
      </c>
      <c r="J546">
        <v>2</v>
      </c>
      <c r="K546">
        <v>0</v>
      </c>
      <c r="L546" s="11">
        <v>7.6923000000000005E-2</v>
      </c>
      <c r="M546" t="s">
        <v>597</v>
      </c>
      <c r="N546" s="12">
        <v>3</v>
      </c>
      <c r="O546" s="12">
        <v>3</v>
      </c>
      <c r="P546" s="12">
        <v>3</v>
      </c>
      <c r="Q546" s="12">
        <v>2</v>
      </c>
      <c r="R546" s="12">
        <v>3</v>
      </c>
      <c r="S546" s="12">
        <v>3</v>
      </c>
      <c r="T546" s="1" t="s">
        <v>602</v>
      </c>
      <c r="U546" s="1" t="s">
        <v>596</v>
      </c>
      <c r="V546">
        <v>20260719</v>
      </c>
      <c r="W546">
        <v>46222.653275462966</v>
      </c>
    </row>
    <row r="547" spans="1:23" ht="30">
      <c r="A547" t="s">
        <v>563</v>
      </c>
      <c r="B547" t="s">
        <v>213</v>
      </c>
      <c r="C547" t="s">
        <v>23</v>
      </c>
      <c r="D547" t="s">
        <v>54</v>
      </c>
      <c r="E547" t="s">
        <v>208</v>
      </c>
      <c r="F547" s="1" t="s">
        <v>214</v>
      </c>
      <c r="G547" s="1" t="s">
        <v>215</v>
      </c>
      <c r="H547" s="1" t="s">
        <v>564</v>
      </c>
      <c r="I547">
        <v>26</v>
      </c>
      <c r="J547">
        <v>2</v>
      </c>
      <c r="K547">
        <v>0</v>
      </c>
      <c r="L547" s="11">
        <v>7.6923000000000005E-2</v>
      </c>
      <c r="M547" t="s">
        <v>598</v>
      </c>
      <c r="N547" s="12">
        <v>2</v>
      </c>
      <c r="O547" s="12">
        <v>3</v>
      </c>
      <c r="P547" s="12">
        <v>3</v>
      </c>
      <c r="Q547" s="12">
        <v>2</v>
      </c>
      <c r="R547" s="12">
        <v>3</v>
      </c>
      <c r="S547" s="12">
        <v>3</v>
      </c>
      <c r="T547" s="1" t="s">
        <v>602</v>
      </c>
      <c r="U547" s="1" t="s">
        <v>596</v>
      </c>
      <c r="V547">
        <v>20260719</v>
      </c>
      <c r="W547">
        <v>46222.653275462966</v>
      </c>
    </row>
    <row r="548" spans="1:23" ht="30">
      <c r="A548" t="s">
        <v>565</v>
      </c>
      <c r="B548" t="s">
        <v>218</v>
      </c>
      <c r="C548" t="s">
        <v>23</v>
      </c>
      <c r="D548" t="s">
        <v>54</v>
      </c>
      <c r="E548" t="s">
        <v>208</v>
      </c>
      <c r="F548" s="1" t="s">
        <v>219</v>
      </c>
      <c r="G548" s="1" t="s">
        <v>220</v>
      </c>
      <c r="H548" s="1" t="s">
        <v>566</v>
      </c>
      <c r="I548">
        <v>28</v>
      </c>
      <c r="J548">
        <v>1</v>
      </c>
      <c r="K548">
        <v>0</v>
      </c>
      <c r="L548" s="11">
        <v>3.5714000000000003E-2</v>
      </c>
      <c r="M548" t="s">
        <v>594</v>
      </c>
      <c r="N548" s="12">
        <v>2</v>
      </c>
      <c r="O548" s="12">
        <v>2</v>
      </c>
      <c r="P548" s="12">
        <v>3</v>
      </c>
      <c r="Q548" s="12">
        <v>3</v>
      </c>
      <c r="R548" s="12">
        <v>3</v>
      </c>
      <c r="S548" s="12">
        <v>2</v>
      </c>
      <c r="T548" s="1" t="s">
        <v>602</v>
      </c>
      <c r="U548" s="1" t="s">
        <v>596</v>
      </c>
      <c r="V548">
        <v>20260719</v>
      </c>
      <c r="W548">
        <v>46222.653275462966</v>
      </c>
    </row>
    <row r="549" spans="1:23" ht="30">
      <c r="A549" t="s">
        <v>565</v>
      </c>
      <c r="B549" t="s">
        <v>218</v>
      </c>
      <c r="C549" t="s">
        <v>23</v>
      </c>
      <c r="D549" t="s">
        <v>54</v>
      </c>
      <c r="E549" t="s">
        <v>208</v>
      </c>
      <c r="F549" s="1" t="s">
        <v>219</v>
      </c>
      <c r="G549" s="1" t="s">
        <v>220</v>
      </c>
      <c r="H549" s="1" t="s">
        <v>566</v>
      </c>
      <c r="I549">
        <v>28</v>
      </c>
      <c r="J549">
        <v>1</v>
      </c>
      <c r="K549">
        <v>0</v>
      </c>
      <c r="L549" s="11">
        <v>3.5714000000000003E-2</v>
      </c>
      <c r="M549" t="s">
        <v>597</v>
      </c>
      <c r="N549" s="12">
        <v>2</v>
      </c>
      <c r="O549" s="12">
        <v>2</v>
      </c>
      <c r="P549" s="12">
        <v>2</v>
      </c>
      <c r="Q549" s="12">
        <v>2</v>
      </c>
      <c r="R549" s="12">
        <v>2</v>
      </c>
      <c r="S549" s="12">
        <v>2</v>
      </c>
      <c r="T549" s="1" t="s">
        <v>602</v>
      </c>
      <c r="U549" s="1" t="s">
        <v>596</v>
      </c>
      <c r="V549">
        <v>20260719</v>
      </c>
      <c r="W549">
        <v>46222.653275462966</v>
      </c>
    </row>
    <row r="550" spans="1:23" ht="30">
      <c r="A550" t="s">
        <v>565</v>
      </c>
      <c r="B550" t="s">
        <v>218</v>
      </c>
      <c r="C550" t="s">
        <v>23</v>
      </c>
      <c r="D550" t="s">
        <v>54</v>
      </c>
      <c r="E550" t="s">
        <v>208</v>
      </c>
      <c r="F550" s="1" t="s">
        <v>219</v>
      </c>
      <c r="G550" s="1" t="s">
        <v>220</v>
      </c>
      <c r="H550" s="1" t="s">
        <v>566</v>
      </c>
      <c r="I550">
        <v>28</v>
      </c>
      <c r="J550">
        <v>1</v>
      </c>
      <c r="K550">
        <v>0</v>
      </c>
      <c r="L550" s="11">
        <v>3.5714000000000003E-2</v>
      </c>
      <c r="M550" t="s">
        <v>598</v>
      </c>
      <c r="N550" s="12">
        <v>2</v>
      </c>
      <c r="O550" s="12">
        <v>2</v>
      </c>
      <c r="P550" s="12">
        <v>2</v>
      </c>
      <c r="Q550" s="12">
        <v>2</v>
      </c>
      <c r="R550" s="12">
        <v>3</v>
      </c>
      <c r="S550" s="12">
        <v>3</v>
      </c>
      <c r="T550" s="1" t="s">
        <v>602</v>
      </c>
      <c r="U550" s="1" t="s">
        <v>596</v>
      </c>
      <c r="V550">
        <v>20260719</v>
      </c>
      <c r="W550">
        <v>46222.653275462966</v>
      </c>
    </row>
    <row r="551" spans="1:23" ht="30">
      <c r="A551" t="s">
        <v>567</v>
      </c>
      <c r="B551" t="s">
        <v>223</v>
      </c>
      <c r="C551" t="s">
        <v>23</v>
      </c>
      <c r="D551" t="s">
        <v>54</v>
      </c>
      <c r="E551" t="s">
        <v>208</v>
      </c>
      <c r="F551" s="1" t="s">
        <v>224</v>
      </c>
      <c r="G551" s="1" t="s">
        <v>225</v>
      </c>
      <c r="H551" s="1" t="s">
        <v>568</v>
      </c>
      <c r="I551">
        <v>29</v>
      </c>
      <c r="J551">
        <v>2</v>
      </c>
      <c r="K551">
        <v>0</v>
      </c>
      <c r="L551" s="11">
        <v>6.8966E-2</v>
      </c>
      <c r="M551" t="s">
        <v>594</v>
      </c>
      <c r="N551" s="12">
        <v>3</v>
      </c>
      <c r="O551" s="12">
        <v>3</v>
      </c>
      <c r="P551" s="12">
        <v>3</v>
      </c>
      <c r="Q551" s="12">
        <v>3</v>
      </c>
      <c r="R551" s="12">
        <v>3</v>
      </c>
      <c r="S551" s="12">
        <v>3</v>
      </c>
      <c r="T551" s="1" t="s">
        <v>602</v>
      </c>
      <c r="U551" s="1" t="s">
        <v>596</v>
      </c>
      <c r="V551">
        <v>20260719</v>
      </c>
      <c r="W551">
        <v>46222.653275462966</v>
      </c>
    </row>
    <row r="552" spans="1:23" ht="30">
      <c r="A552" t="s">
        <v>567</v>
      </c>
      <c r="B552" t="s">
        <v>223</v>
      </c>
      <c r="C552" t="s">
        <v>23</v>
      </c>
      <c r="D552" t="s">
        <v>54</v>
      </c>
      <c r="E552" t="s">
        <v>208</v>
      </c>
      <c r="F552" s="1" t="s">
        <v>224</v>
      </c>
      <c r="G552" s="1" t="s">
        <v>225</v>
      </c>
      <c r="H552" s="1" t="s">
        <v>568</v>
      </c>
      <c r="I552">
        <v>29</v>
      </c>
      <c r="J552">
        <v>2</v>
      </c>
      <c r="K552">
        <v>0</v>
      </c>
      <c r="L552" s="11">
        <v>6.8966E-2</v>
      </c>
      <c r="M552" t="s">
        <v>597</v>
      </c>
      <c r="N552" s="12">
        <v>3</v>
      </c>
      <c r="O552" s="12">
        <v>3</v>
      </c>
      <c r="P552" s="12">
        <v>3</v>
      </c>
      <c r="Q552" s="12">
        <v>3</v>
      </c>
      <c r="R552" s="12">
        <v>3</v>
      </c>
      <c r="S552" s="12">
        <v>3</v>
      </c>
      <c r="T552" s="1" t="s">
        <v>602</v>
      </c>
      <c r="U552" s="1" t="s">
        <v>596</v>
      </c>
      <c r="V552">
        <v>20260719</v>
      </c>
      <c r="W552">
        <v>46222.653275462966</v>
      </c>
    </row>
    <row r="553" spans="1:23" ht="30">
      <c r="A553" t="s">
        <v>567</v>
      </c>
      <c r="B553" t="s">
        <v>223</v>
      </c>
      <c r="C553" t="s">
        <v>23</v>
      </c>
      <c r="D553" t="s">
        <v>54</v>
      </c>
      <c r="E553" t="s">
        <v>208</v>
      </c>
      <c r="F553" s="1" t="s">
        <v>224</v>
      </c>
      <c r="G553" s="1" t="s">
        <v>225</v>
      </c>
      <c r="H553" s="1" t="s">
        <v>568</v>
      </c>
      <c r="I553">
        <v>29</v>
      </c>
      <c r="J553">
        <v>2</v>
      </c>
      <c r="K553">
        <v>0</v>
      </c>
      <c r="L553" s="11">
        <v>6.8966E-2</v>
      </c>
      <c r="M553" t="s">
        <v>598</v>
      </c>
      <c r="N553" s="12">
        <v>3</v>
      </c>
      <c r="O553" s="12">
        <v>3</v>
      </c>
      <c r="P553" s="12">
        <v>3</v>
      </c>
      <c r="Q553" s="12">
        <v>3</v>
      </c>
      <c r="R553" s="12">
        <v>3</v>
      </c>
      <c r="S553" s="12">
        <v>3</v>
      </c>
      <c r="T553" s="1" t="s">
        <v>602</v>
      </c>
      <c r="U553" s="1" t="s">
        <v>596</v>
      </c>
      <c r="V553">
        <v>20260719</v>
      </c>
      <c r="W553">
        <v>46222.653275462966</v>
      </c>
    </row>
    <row r="554" spans="1:23" ht="30">
      <c r="A554" t="s">
        <v>569</v>
      </c>
      <c r="B554" t="s">
        <v>228</v>
      </c>
      <c r="C554" t="s">
        <v>23</v>
      </c>
      <c r="D554" t="s">
        <v>54</v>
      </c>
      <c r="E554" t="s">
        <v>229</v>
      </c>
      <c r="F554" s="1" t="s">
        <v>230</v>
      </c>
      <c r="G554" s="1" t="s">
        <v>231</v>
      </c>
      <c r="H554" s="1" t="s">
        <v>570</v>
      </c>
      <c r="I554">
        <v>25</v>
      </c>
      <c r="J554">
        <v>2</v>
      </c>
      <c r="K554">
        <v>0</v>
      </c>
      <c r="L554" s="11">
        <v>0.08</v>
      </c>
      <c r="M554" t="s">
        <v>594</v>
      </c>
      <c r="N554" s="12">
        <v>3</v>
      </c>
      <c r="O554" s="12">
        <v>3</v>
      </c>
      <c r="P554" s="12">
        <v>2</v>
      </c>
      <c r="Q554" s="12">
        <v>3</v>
      </c>
      <c r="R554" s="12">
        <v>2</v>
      </c>
      <c r="S554" s="12">
        <v>3</v>
      </c>
      <c r="T554" s="1" t="s">
        <v>602</v>
      </c>
      <c r="U554" s="1" t="s">
        <v>596</v>
      </c>
      <c r="V554">
        <v>20260719</v>
      </c>
      <c r="W554">
        <v>46222.653275462966</v>
      </c>
    </row>
    <row r="555" spans="1:23" ht="30">
      <c r="A555" t="s">
        <v>569</v>
      </c>
      <c r="B555" t="s">
        <v>228</v>
      </c>
      <c r="C555" t="s">
        <v>23</v>
      </c>
      <c r="D555" t="s">
        <v>54</v>
      </c>
      <c r="E555" t="s">
        <v>229</v>
      </c>
      <c r="F555" s="1" t="s">
        <v>230</v>
      </c>
      <c r="G555" s="1" t="s">
        <v>231</v>
      </c>
      <c r="H555" s="1" t="s">
        <v>570</v>
      </c>
      <c r="I555">
        <v>25</v>
      </c>
      <c r="J555">
        <v>2</v>
      </c>
      <c r="K555">
        <v>0</v>
      </c>
      <c r="L555" s="11">
        <v>0.08</v>
      </c>
      <c r="M555" t="s">
        <v>597</v>
      </c>
      <c r="N555" s="12">
        <v>3</v>
      </c>
      <c r="O555" s="12">
        <v>3</v>
      </c>
      <c r="P555" s="12">
        <v>3</v>
      </c>
      <c r="Q555" s="12">
        <v>3</v>
      </c>
      <c r="R555" s="12">
        <v>2</v>
      </c>
      <c r="S555" s="12">
        <v>3</v>
      </c>
      <c r="T555" s="1" t="s">
        <v>602</v>
      </c>
      <c r="U555" s="1" t="s">
        <v>596</v>
      </c>
      <c r="V555">
        <v>20260719</v>
      </c>
      <c r="W555">
        <v>46222.653275462966</v>
      </c>
    </row>
    <row r="556" spans="1:23" ht="30">
      <c r="A556" t="s">
        <v>569</v>
      </c>
      <c r="B556" t="s">
        <v>228</v>
      </c>
      <c r="C556" t="s">
        <v>23</v>
      </c>
      <c r="D556" t="s">
        <v>54</v>
      </c>
      <c r="E556" t="s">
        <v>229</v>
      </c>
      <c r="F556" s="1" t="s">
        <v>230</v>
      </c>
      <c r="G556" s="1" t="s">
        <v>231</v>
      </c>
      <c r="H556" s="1" t="s">
        <v>570</v>
      </c>
      <c r="I556">
        <v>25</v>
      </c>
      <c r="J556">
        <v>2</v>
      </c>
      <c r="K556">
        <v>0</v>
      </c>
      <c r="L556" s="11">
        <v>0.08</v>
      </c>
      <c r="M556" t="s">
        <v>598</v>
      </c>
      <c r="N556" s="12">
        <v>3</v>
      </c>
      <c r="O556" s="12">
        <v>3</v>
      </c>
      <c r="P556" s="12">
        <v>2</v>
      </c>
      <c r="Q556" s="12">
        <v>3</v>
      </c>
      <c r="R556" s="12">
        <v>2</v>
      </c>
      <c r="S556" s="12">
        <v>3</v>
      </c>
      <c r="T556" s="1" t="s">
        <v>602</v>
      </c>
      <c r="U556" s="1" t="s">
        <v>596</v>
      </c>
      <c r="V556">
        <v>20260719</v>
      </c>
      <c r="W556">
        <v>46222.653275462966</v>
      </c>
    </row>
    <row r="557" spans="1:23" ht="30">
      <c r="A557" t="s">
        <v>571</v>
      </c>
      <c r="B557" t="s">
        <v>234</v>
      </c>
      <c r="C557" t="s">
        <v>23</v>
      </c>
      <c r="D557" t="s">
        <v>54</v>
      </c>
      <c r="E557" t="s">
        <v>229</v>
      </c>
      <c r="F557" s="1" t="s">
        <v>235</v>
      </c>
      <c r="G557" s="1" t="s">
        <v>236</v>
      </c>
      <c r="H557" s="1" t="s">
        <v>572</v>
      </c>
      <c r="I557">
        <v>31</v>
      </c>
      <c r="J557">
        <v>2</v>
      </c>
      <c r="K557">
        <v>0</v>
      </c>
      <c r="L557" s="11">
        <v>6.4516000000000004E-2</v>
      </c>
      <c r="M557" t="s">
        <v>594</v>
      </c>
      <c r="N557" s="12">
        <v>3</v>
      </c>
      <c r="O557" s="12">
        <v>2</v>
      </c>
      <c r="P557" s="12">
        <v>3</v>
      </c>
      <c r="Q557" s="12">
        <v>2</v>
      </c>
      <c r="R557" s="12">
        <v>2</v>
      </c>
      <c r="S557" s="12">
        <v>3</v>
      </c>
      <c r="T557" s="1" t="s">
        <v>602</v>
      </c>
      <c r="U557" s="1" t="s">
        <v>596</v>
      </c>
      <c r="V557">
        <v>20260719</v>
      </c>
      <c r="W557">
        <v>46222.653275462966</v>
      </c>
    </row>
    <row r="558" spans="1:23" ht="30">
      <c r="A558" t="s">
        <v>571</v>
      </c>
      <c r="B558" t="s">
        <v>234</v>
      </c>
      <c r="C558" t="s">
        <v>23</v>
      </c>
      <c r="D558" t="s">
        <v>54</v>
      </c>
      <c r="E558" t="s">
        <v>229</v>
      </c>
      <c r="F558" s="1" t="s">
        <v>235</v>
      </c>
      <c r="G558" s="1" t="s">
        <v>236</v>
      </c>
      <c r="H558" s="1" t="s">
        <v>572</v>
      </c>
      <c r="I558">
        <v>31</v>
      </c>
      <c r="J558">
        <v>2</v>
      </c>
      <c r="K558">
        <v>0</v>
      </c>
      <c r="L558" s="11">
        <v>6.4516000000000004E-2</v>
      </c>
      <c r="M558" t="s">
        <v>597</v>
      </c>
      <c r="N558" s="12">
        <v>3</v>
      </c>
      <c r="O558" s="12">
        <v>2</v>
      </c>
      <c r="P558" s="12">
        <v>3</v>
      </c>
      <c r="Q558" s="12">
        <v>3</v>
      </c>
      <c r="R558" s="12">
        <v>2</v>
      </c>
      <c r="S558" s="12">
        <v>3</v>
      </c>
      <c r="T558" s="1" t="s">
        <v>602</v>
      </c>
      <c r="U558" s="1" t="s">
        <v>596</v>
      </c>
      <c r="V558">
        <v>20260719</v>
      </c>
      <c r="W558">
        <v>46222.653275462966</v>
      </c>
    </row>
    <row r="559" spans="1:23" ht="30">
      <c r="A559" t="s">
        <v>571</v>
      </c>
      <c r="B559" t="s">
        <v>234</v>
      </c>
      <c r="C559" t="s">
        <v>23</v>
      </c>
      <c r="D559" t="s">
        <v>54</v>
      </c>
      <c r="E559" t="s">
        <v>229</v>
      </c>
      <c r="F559" s="1" t="s">
        <v>235</v>
      </c>
      <c r="G559" s="1" t="s">
        <v>236</v>
      </c>
      <c r="H559" s="1" t="s">
        <v>572</v>
      </c>
      <c r="I559">
        <v>31</v>
      </c>
      <c r="J559">
        <v>2</v>
      </c>
      <c r="K559">
        <v>0</v>
      </c>
      <c r="L559" s="11">
        <v>6.4516000000000004E-2</v>
      </c>
      <c r="M559" t="s">
        <v>598</v>
      </c>
      <c r="N559" s="12">
        <v>2</v>
      </c>
      <c r="O559" s="12">
        <v>3</v>
      </c>
      <c r="P559" s="12">
        <v>3</v>
      </c>
      <c r="Q559" s="12">
        <v>2</v>
      </c>
      <c r="R559" s="12">
        <v>3</v>
      </c>
      <c r="S559" s="12">
        <v>3</v>
      </c>
      <c r="T559" s="1" t="s">
        <v>602</v>
      </c>
      <c r="U559" s="1" t="s">
        <v>596</v>
      </c>
      <c r="V559">
        <v>20260719</v>
      </c>
      <c r="W559">
        <v>46222.653275462966</v>
      </c>
    </row>
    <row r="560" spans="1:23" ht="30">
      <c r="A560" t="s">
        <v>573</v>
      </c>
      <c r="B560" t="s">
        <v>239</v>
      </c>
      <c r="C560" t="s">
        <v>23</v>
      </c>
      <c r="D560" t="s">
        <v>54</v>
      </c>
      <c r="E560" t="s">
        <v>229</v>
      </c>
      <c r="F560" s="1" t="s">
        <v>240</v>
      </c>
      <c r="G560" s="1" t="s">
        <v>241</v>
      </c>
      <c r="H560" s="1" t="s">
        <v>574</v>
      </c>
      <c r="I560">
        <v>29</v>
      </c>
      <c r="J560">
        <v>2</v>
      </c>
      <c r="K560">
        <v>0</v>
      </c>
      <c r="L560" s="11">
        <v>6.8966E-2</v>
      </c>
      <c r="M560" t="s">
        <v>594</v>
      </c>
      <c r="N560" s="12">
        <v>1</v>
      </c>
      <c r="O560" s="12">
        <v>2</v>
      </c>
      <c r="P560" s="12">
        <v>3</v>
      </c>
      <c r="Q560" s="12">
        <v>2</v>
      </c>
      <c r="R560" s="12">
        <v>2</v>
      </c>
      <c r="S560" s="12">
        <v>3</v>
      </c>
      <c r="T560" s="1" t="s">
        <v>602</v>
      </c>
      <c r="U560" s="1" t="s">
        <v>596</v>
      </c>
      <c r="V560">
        <v>20260719</v>
      </c>
      <c r="W560">
        <v>46222.653275462966</v>
      </c>
    </row>
    <row r="561" spans="1:23" ht="30">
      <c r="A561" t="s">
        <v>573</v>
      </c>
      <c r="B561" t="s">
        <v>239</v>
      </c>
      <c r="C561" t="s">
        <v>23</v>
      </c>
      <c r="D561" t="s">
        <v>54</v>
      </c>
      <c r="E561" t="s">
        <v>229</v>
      </c>
      <c r="F561" s="1" t="s">
        <v>240</v>
      </c>
      <c r="G561" s="1" t="s">
        <v>241</v>
      </c>
      <c r="H561" s="1" t="s">
        <v>574</v>
      </c>
      <c r="I561">
        <v>29</v>
      </c>
      <c r="J561">
        <v>2</v>
      </c>
      <c r="K561">
        <v>0</v>
      </c>
      <c r="L561" s="11">
        <v>6.8966E-2</v>
      </c>
      <c r="M561" t="s">
        <v>597</v>
      </c>
      <c r="N561" s="12">
        <v>2</v>
      </c>
      <c r="O561" s="12">
        <v>2</v>
      </c>
      <c r="P561" s="12">
        <v>3</v>
      </c>
      <c r="Q561" s="12">
        <v>2</v>
      </c>
      <c r="R561" s="12">
        <v>3</v>
      </c>
      <c r="S561" s="12">
        <v>3</v>
      </c>
      <c r="T561" s="1" t="s">
        <v>602</v>
      </c>
      <c r="U561" s="1" t="s">
        <v>596</v>
      </c>
      <c r="V561">
        <v>20260719</v>
      </c>
      <c r="W561">
        <v>46222.653275462966</v>
      </c>
    </row>
    <row r="562" spans="1:23" ht="30">
      <c r="A562" t="s">
        <v>573</v>
      </c>
      <c r="B562" t="s">
        <v>239</v>
      </c>
      <c r="C562" t="s">
        <v>23</v>
      </c>
      <c r="D562" t="s">
        <v>54</v>
      </c>
      <c r="E562" t="s">
        <v>229</v>
      </c>
      <c r="F562" s="1" t="s">
        <v>240</v>
      </c>
      <c r="G562" s="1" t="s">
        <v>241</v>
      </c>
      <c r="H562" s="1" t="s">
        <v>574</v>
      </c>
      <c r="I562">
        <v>29</v>
      </c>
      <c r="J562">
        <v>2</v>
      </c>
      <c r="K562">
        <v>0</v>
      </c>
      <c r="L562" s="11">
        <v>6.8966E-2</v>
      </c>
      <c r="M562" t="s">
        <v>598</v>
      </c>
      <c r="N562" s="12">
        <v>2</v>
      </c>
      <c r="O562" s="12">
        <v>3</v>
      </c>
      <c r="P562" s="12">
        <v>3</v>
      </c>
      <c r="Q562" s="12">
        <v>2</v>
      </c>
      <c r="R562" s="12">
        <v>3</v>
      </c>
      <c r="S562" s="12">
        <v>3</v>
      </c>
      <c r="T562" s="1" t="s">
        <v>602</v>
      </c>
      <c r="U562" s="1" t="s">
        <v>596</v>
      </c>
      <c r="V562">
        <v>20260719</v>
      </c>
      <c r="W562">
        <v>46222.653275462966</v>
      </c>
    </row>
    <row r="563" spans="1:23" ht="30">
      <c r="A563" t="s">
        <v>575</v>
      </c>
      <c r="B563" t="s">
        <v>244</v>
      </c>
      <c r="C563" t="s">
        <v>23</v>
      </c>
      <c r="D563" t="s">
        <v>54</v>
      </c>
      <c r="E563" t="s">
        <v>229</v>
      </c>
      <c r="F563" s="1" t="s">
        <v>245</v>
      </c>
      <c r="G563" s="1" t="s">
        <v>246</v>
      </c>
      <c r="H563" s="1" t="s">
        <v>576</v>
      </c>
      <c r="I563">
        <v>27</v>
      </c>
      <c r="J563">
        <v>1</v>
      </c>
      <c r="K563">
        <v>0</v>
      </c>
      <c r="L563" s="11">
        <v>3.7037E-2</v>
      </c>
      <c r="M563" t="s">
        <v>594</v>
      </c>
      <c r="N563" s="12">
        <v>3</v>
      </c>
      <c r="O563" s="12">
        <v>3</v>
      </c>
      <c r="P563" s="12">
        <v>3</v>
      </c>
      <c r="Q563" s="12">
        <v>2</v>
      </c>
      <c r="R563" s="12">
        <v>3</v>
      </c>
      <c r="S563" s="12">
        <v>3</v>
      </c>
      <c r="T563" s="1" t="s">
        <v>602</v>
      </c>
      <c r="U563" s="1" t="s">
        <v>596</v>
      </c>
      <c r="V563">
        <v>20260719</v>
      </c>
      <c r="W563">
        <v>46222.653275462966</v>
      </c>
    </row>
    <row r="564" spans="1:23" ht="30">
      <c r="A564" t="s">
        <v>575</v>
      </c>
      <c r="B564" t="s">
        <v>244</v>
      </c>
      <c r="C564" t="s">
        <v>23</v>
      </c>
      <c r="D564" t="s">
        <v>54</v>
      </c>
      <c r="E564" t="s">
        <v>229</v>
      </c>
      <c r="F564" s="1" t="s">
        <v>245</v>
      </c>
      <c r="G564" s="1" t="s">
        <v>246</v>
      </c>
      <c r="H564" s="1" t="s">
        <v>576</v>
      </c>
      <c r="I564">
        <v>27</v>
      </c>
      <c r="J564">
        <v>1</v>
      </c>
      <c r="K564">
        <v>0</v>
      </c>
      <c r="L564" s="11">
        <v>3.7037E-2</v>
      </c>
      <c r="M564" t="s">
        <v>597</v>
      </c>
      <c r="N564" s="12">
        <v>3</v>
      </c>
      <c r="O564" s="12">
        <v>3</v>
      </c>
      <c r="P564" s="12">
        <v>3</v>
      </c>
      <c r="Q564" s="12">
        <v>3</v>
      </c>
      <c r="R564" s="12">
        <v>3</v>
      </c>
      <c r="S564" s="12">
        <v>3</v>
      </c>
      <c r="T564" s="1" t="s">
        <v>602</v>
      </c>
      <c r="U564" s="1" t="s">
        <v>596</v>
      </c>
      <c r="V564">
        <v>20260719</v>
      </c>
      <c r="W564">
        <v>46222.653275462966</v>
      </c>
    </row>
    <row r="565" spans="1:23" ht="30">
      <c r="A565" t="s">
        <v>575</v>
      </c>
      <c r="B565" t="s">
        <v>244</v>
      </c>
      <c r="C565" t="s">
        <v>23</v>
      </c>
      <c r="D565" t="s">
        <v>54</v>
      </c>
      <c r="E565" t="s">
        <v>229</v>
      </c>
      <c r="F565" s="1" t="s">
        <v>245</v>
      </c>
      <c r="G565" s="1" t="s">
        <v>246</v>
      </c>
      <c r="H565" s="1" t="s">
        <v>576</v>
      </c>
      <c r="I565">
        <v>27</v>
      </c>
      <c r="J565">
        <v>1</v>
      </c>
      <c r="K565">
        <v>0</v>
      </c>
      <c r="L565" s="11">
        <v>3.7037E-2</v>
      </c>
      <c r="M565" t="s">
        <v>598</v>
      </c>
      <c r="N565" s="12">
        <v>3</v>
      </c>
      <c r="O565" s="12">
        <v>3</v>
      </c>
      <c r="P565" s="12">
        <v>3</v>
      </c>
      <c r="Q565" s="12">
        <v>3</v>
      </c>
      <c r="R565" s="12">
        <v>3</v>
      </c>
      <c r="S565" s="12">
        <v>3</v>
      </c>
      <c r="T565" s="1" t="s">
        <v>602</v>
      </c>
      <c r="U565" s="1" t="s">
        <v>596</v>
      </c>
      <c r="V565">
        <v>20260719</v>
      </c>
      <c r="W565">
        <v>46222.653275462966</v>
      </c>
    </row>
    <row r="566" spans="1:23" ht="30">
      <c r="A566" t="s">
        <v>577</v>
      </c>
      <c r="B566" t="s">
        <v>249</v>
      </c>
      <c r="C566" t="s">
        <v>23</v>
      </c>
      <c r="D566" t="s">
        <v>54</v>
      </c>
      <c r="E566" t="s">
        <v>250</v>
      </c>
      <c r="F566" s="1" t="s">
        <v>251</v>
      </c>
      <c r="G566" s="1" t="s">
        <v>252</v>
      </c>
      <c r="H566" s="1" t="s">
        <v>578</v>
      </c>
      <c r="I566">
        <v>24</v>
      </c>
      <c r="J566">
        <v>2</v>
      </c>
      <c r="K566">
        <v>0</v>
      </c>
      <c r="L566" s="11">
        <v>8.3333000000000004E-2</v>
      </c>
      <c r="M566" t="s">
        <v>594</v>
      </c>
      <c r="N566" s="12">
        <v>3</v>
      </c>
      <c r="O566" s="12">
        <v>3</v>
      </c>
      <c r="P566" s="12">
        <v>3</v>
      </c>
      <c r="Q566" s="12">
        <v>2</v>
      </c>
      <c r="R566" s="12">
        <v>2</v>
      </c>
      <c r="S566" s="12">
        <v>2</v>
      </c>
      <c r="T566" s="1" t="s">
        <v>602</v>
      </c>
      <c r="U566" s="1" t="s">
        <v>596</v>
      </c>
      <c r="V566">
        <v>20260719</v>
      </c>
      <c r="W566">
        <v>46222.653275462966</v>
      </c>
    </row>
    <row r="567" spans="1:23" ht="30">
      <c r="A567" t="s">
        <v>577</v>
      </c>
      <c r="B567" t="s">
        <v>249</v>
      </c>
      <c r="C567" t="s">
        <v>23</v>
      </c>
      <c r="D567" t="s">
        <v>54</v>
      </c>
      <c r="E567" t="s">
        <v>250</v>
      </c>
      <c r="F567" s="1" t="s">
        <v>251</v>
      </c>
      <c r="G567" s="1" t="s">
        <v>252</v>
      </c>
      <c r="H567" s="1" t="s">
        <v>578</v>
      </c>
      <c r="I567">
        <v>24</v>
      </c>
      <c r="J567">
        <v>2</v>
      </c>
      <c r="K567">
        <v>0</v>
      </c>
      <c r="L567" s="11">
        <v>8.3333000000000004E-2</v>
      </c>
      <c r="M567" t="s">
        <v>597</v>
      </c>
      <c r="N567" s="12">
        <v>2</v>
      </c>
      <c r="O567" s="12">
        <v>3</v>
      </c>
      <c r="P567" s="12">
        <v>3</v>
      </c>
      <c r="Q567" s="12">
        <v>3</v>
      </c>
      <c r="R567" s="12">
        <v>3</v>
      </c>
      <c r="S567" s="12">
        <v>3</v>
      </c>
      <c r="T567" s="1" t="s">
        <v>602</v>
      </c>
      <c r="U567" s="1" t="s">
        <v>596</v>
      </c>
      <c r="V567">
        <v>20260719</v>
      </c>
      <c r="W567">
        <v>46222.653275462966</v>
      </c>
    </row>
    <row r="568" spans="1:23" ht="30">
      <c r="A568" t="s">
        <v>577</v>
      </c>
      <c r="B568" t="s">
        <v>249</v>
      </c>
      <c r="C568" t="s">
        <v>23</v>
      </c>
      <c r="D568" t="s">
        <v>54</v>
      </c>
      <c r="E568" t="s">
        <v>250</v>
      </c>
      <c r="F568" s="1" t="s">
        <v>251</v>
      </c>
      <c r="G568" s="1" t="s">
        <v>252</v>
      </c>
      <c r="H568" s="1" t="s">
        <v>578</v>
      </c>
      <c r="I568">
        <v>24</v>
      </c>
      <c r="J568">
        <v>2</v>
      </c>
      <c r="K568">
        <v>0</v>
      </c>
      <c r="L568" s="11">
        <v>8.3333000000000004E-2</v>
      </c>
      <c r="M568" t="s">
        <v>598</v>
      </c>
      <c r="N568" s="12">
        <v>2</v>
      </c>
      <c r="O568" s="12">
        <v>3</v>
      </c>
      <c r="P568" s="12">
        <v>2</v>
      </c>
      <c r="Q568" s="12">
        <v>2</v>
      </c>
      <c r="R568" s="12">
        <v>3</v>
      </c>
      <c r="S568" s="12">
        <v>3</v>
      </c>
      <c r="T568" s="1" t="s">
        <v>602</v>
      </c>
      <c r="U568" s="1" t="s">
        <v>596</v>
      </c>
      <c r="V568">
        <v>20260719</v>
      </c>
      <c r="W568">
        <v>46222.653275462966</v>
      </c>
    </row>
    <row r="569" spans="1:23" ht="30">
      <c r="A569" t="s">
        <v>579</v>
      </c>
      <c r="B569" t="s">
        <v>255</v>
      </c>
      <c r="C569" t="s">
        <v>23</v>
      </c>
      <c r="D569" t="s">
        <v>54</v>
      </c>
      <c r="E569" t="s">
        <v>250</v>
      </c>
      <c r="F569" s="1" t="s">
        <v>256</v>
      </c>
      <c r="G569" s="1" t="s">
        <v>257</v>
      </c>
      <c r="H569" s="1" t="s">
        <v>580</v>
      </c>
      <c r="I569">
        <v>29</v>
      </c>
      <c r="J569">
        <v>2</v>
      </c>
      <c r="K569">
        <v>0</v>
      </c>
      <c r="L569" s="11">
        <v>6.8966E-2</v>
      </c>
      <c r="M569" t="s">
        <v>594</v>
      </c>
      <c r="N569" s="12">
        <v>2</v>
      </c>
      <c r="O569" s="12">
        <v>3</v>
      </c>
      <c r="P569" s="12">
        <v>3</v>
      </c>
      <c r="Q569" s="12">
        <v>2</v>
      </c>
      <c r="R569" s="12">
        <v>2</v>
      </c>
      <c r="S569" s="12">
        <v>3</v>
      </c>
      <c r="T569" s="1" t="s">
        <v>602</v>
      </c>
      <c r="U569" s="1" t="s">
        <v>596</v>
      </c>
      <c r="V569">
        <v>20260719</v>
      </c>
      <c r="W569">
        <v>46222.653275462966</v>
      </c>
    </row>
    <row r="570" spans="1:23" ht="30">
      <c r="A570" t="s">
        <v>579</v>
      </c>
      <c r="B570" t="s">
        <v>255</v>
      </c>
      <c r="C570" t="s">
        <v>23</v>
      </c>
      <c r="D570" t="s">
        <v>54</v>
      </c>
      <c r="E570" t="s">
        <v>250</v>
      </c>
      <c r="F570" s="1" t="s">
        <v>256</v>
      </c>
      <c r="G570" s="1" t="s">
        <v>257</v>
      </c>
      <c r="H570" s="1" t="s">
        <v>580</v>
      </c>
      <c r="I570">
        <v>29</v>
      </c>
      <c r="J570">
        <v>2</v>
      </c>
      <c r="K570">
        <v>0</v>
      </c>
      <c r="L570" s="11">
        <v>6.8966E-2</v>
      </c>
      <c r="M570" t="s">
        <v>597</v>
      </c>
      <c r="N570" s="12">
        <v>3</v>
      </c>
      <c r="O570" s="12">
        <v>3</v>
      </c>
      <c r="P570" s="12">
        <v>3</v>
      </c>
      <c r="Q570" s="12">
        <v>3</v>
      </c>
      <c r="R570" s="12">
        <v>3</v>
      </c>
      <c r="S570" s="12">
        <v>3</v>
      </c>
      <c r="T570" s="1" t="s">
        <v>602</v>
      </c>
      <c r="U570" s="1" t="s">
        <v>596</v>
      </c>
      <c r="V570">
        <v>20260719</v>
      </c>
      <c r="W570">
        <v>46222.653275462966</v>
      </c>
    </row>
    <row r="571" spans="1:23" ht="30">
      <c r="A571" t="s">
        <v>579</v>
      </c>
      <c r="B571" t="s">
        <v>255</v>
      </c>
      <c r="C571" t="s">
        <v>23</v>
      </c>
      <c r="D571" t="s">
        <v>54</v>
      </c>
      <c r="E571" t="s">
        <v>250</v>
      </c>
      <c r="F571" s="1" t="s">
        <v>256</v>
      </c>
      <c r="G571" s="1" t="s">
        <v>257</v>
      </c>
      <c r="H571" s="1" t="s">
        <v>580</v>
      </c>
      <c r="I571">
        <v>29</v>
      </c>
      <c r="J571">
        <v>2</v>
      </c>
      <c r="K571">
        <v>0</v>
      </c>
      <c r="L571" s="11">
        <v>6.8966E-2</v>
      </c>
      <c r="M571" t="s">
        <v>598</v>
      </c>
      <c r="N571" s="12">
        <v>2</v>
      </c>
      <c r="O571" s="12">
        <v>3</v>
      </c>
      <c r="P571" s="12">
        <v>3</v>
      </c>
      <c r="Q571" s="12">
        <v>3</v>
      </c>
      <c r="R571" s="12">
        <v>3</v>
      </c>
      <c r="S571" s="12">
        <v>3</v>
      </c>
      <c r="T571" s="1" t="s">
        <v>602</v>
      </c>
      <c r="U571" s="1" t="s">
        <v>596</v>
      </c>
      <c r="V571">
        <v>20260719</v>
      </c>
      <c r="W571">
        <v>46222.653275462966</v>
      </c>
    </row>
    <row r="572" spans="1:23" ht="30">
      <c r="A572" t="s">
        <v>581</v>
      </c>
      <c r="B572" t="s">
        <v>260</v>
      </c>
      <c r="C572" t="s">
        <v>23</v>
      </c>
      <c r="D572" t="s">
        <v>54</v>
      </c>
      <c r="E572" t="s">
        <v>250</v>
      </c>
      <c r="F572" s="1" t="s">
        <v>261</v>
      </c>
      <c r="G572" s="1" t="s">
        <v>262</v>
      </c>
      <c r="H572" s="1" t="s">
        <v>582</v>
      </c>
      <c r="I572">
        <v>24</v>
      </c>
      <c r="J572">
        <v>2</v>
      </c>
      <c r="K572">
        <v>0</v>
      </c>
      <c r="L572" s="11">
        <v>8.3333000000000004E-2</v>
      </c>
      <c r="M572" t="s">
        <v>594</v>
      </c>
      <c r="N572" s="12">
        <v>3</v>
      </c>
      <c r="O572" s="12">
        <v>3</v>
      </c>
      <c r="P572" s="12">
        <v>3</v>
      </c>
      <c r="Q572" s="12">
        <v>2</v>
      </c>
      <c r="R572" s="12">
        <v>3</v>
      </c>
      <c r="S572" s="12">
        <v>3</v>
      </c>
      <c r="T572" s="1" t="s">
        <v>602</v>
      </c>
      <c r="U572" s="1" t="s">
        <v>596</v>
      </c>
      <c r="V572">
        <v>20260719</v>
      </c>
      <c r="W572">
        <v>46222.653275462966</v>
      </c>
    </row>
    <row r="573" spans="1:23" ht="30">
      <c r="A573" t="s">
        <v>581</v>
      </c>
      <c r="B573" t="s">
        <v>260</v>
      </c>
      <c r="C573" t="s">
        <v>23</v>
      </c>
      <c r="D573" t="s">
        <v>54</v>
      </c>
      <c r="E573" t="s">
        <v>250</v>
      </c>
      <c r="F573" s="1" t="s">
        <v>261</v>
      </c>
      <c r="G573" s="1" t="s">
        <v>262</v>
      </c>
      <c r="H573" s="1" t="s">
        <v>582</v>
      </c>
      <c r="I573">
        <v>24</v>
      </c>
      <c r="J573">
        <v>2</v>
      </c>
      <c r="K573">
        <v>0</v>
      </c>
      <c r="L573" s="11">
        <v>8.3333000000000004E-2</v>
      </c>
      <c r="M573" t="s">
        <v>597</v>
      </c>
      <c r="N573" s="12">
        <v>2</v>
      </c>
      <c r="O573" s="12">
        <v>3</v>
      </c>
      <c r="P573" s="12">
        <v>3</v>
      </c>
      <c r="Q573" s="12">
        <v>3</v>
      </c>
      <c r="R573" s="12">
        <v>3</v>
      </c>
      <c r="S573" s="12">
        <v>2</v>
      </c>
      <c r="T573" s="1" t="s">
        <v>602</v>
      </c>
      <c r="U573" s="1" t="s">
        <v>596</v>
      </c>
      <c r="V573">
        <v>20260719</v>
      </c>
      <c r="W573">
        <v>46222.653275462966</v>
      </c>
    </row>
    <row r="574" spans="1:23" ht="30">
      <c r="A574" t="s">
        <v>581</v>
      </c>
      <c r="B574" t="s">
        <v>260</v>
      </c>
      <c r="C574" t="s">
        <v>23</v>
      </c>
      <c r="D574" t="s">
        <v>54</v>
      </c>
      <c r="E574" t="s">
        <v>250</v>
      </c>
      <c r="F574" s="1" t="s">
        <v>261</v>
      </c>
      <c r="G574" s="1" t="s">
        <v>262</v>
      </c>
      <c r="H574" s="1" t="s">
        <v>582</v>
      </c>
      <c r="I574">
        <v>24</v>
      </c>
      <c r="J574">
        <v>2</v>
      </c>
      <c r="K574">
        <v>0</v>
      </c>
      <c r="L574" s="11">
        <v>8.3333000000000004E-2</v>
      </c>
      <c r="M574" t="s">
        <v>598</v>
      </c>
      <c r="N574" s="12">
        <v>3</v>
      </c>
      <c r="O574" s="12">
        <v>3</v>
      </c>
      <c r="P574" s="12">
        <v>3</v>
      </c>
      <c r="Q574" s="12">
        <v>2</v>
      </c>
      <c r="R574" s="12">
        <v>3</v>
      </c>
      <c r="S574" s="12">
        <v>2</v>
      </c>
      <c r="T574" s="1" t="s">
        <v>602</v>
      </c>
      <c r="U574" s="1" t="s">
        <v>596</v>
      </c>
      <c r="V574">
        <v>20260719</v>
      </c>
      <c r="W574">
        <v>46222.653275462966</v>
      </c>
    </row>
    <row r="575" spans="1:23" ht="30">
      <c r="A575" t="s">
        <v>583</v>
      </c>
      <c r="B575" t="s">
        <v>265</v>
      </c>
      <c r="C575" t="s">
        <v>23</v>
      </c>
      <c r="D575" t="s">
        <v>54</v>
      </c>
      <c r="E575" t="s">
        <v>250</v>
      </c>
      <c r="F575" s="1" t="s">
        <v>266</v>
      </c>
      <c r="G575" s="1" t="s">
        <v>267</v>
      </c>
      <c r="H575" s="1" t="s">
        <v>584</v>
      </c>
      <c r="I575">
        <v>29</v>
      </c>
      <c r="J575">
        <v>2</v>
      </c>
      <c r="K575">
        <v>0</v>
      </c>
      <c r="L575" s="11">
        <v>6.8966E-2</v>
      </c>
      <c r="M575" t="s">
        <v>594</v>
      </c>
      <c r="N575" s="12">
        <v>2</v>
      </c>
      <c r="O575" s="12">
        <v>3</v>
      </c>
      <c r="P575" s="12">
        <v>3</v>
      </c>
      <c r="Q575" s="12">
        <v>3</v>
      </c>
      <c r="R575" s="12">
        <v>3</v>
      </c>
      <c r="S575" s="12">
        <v>3</v>
      </c>
      <c r="T575" s="1" t="s">
        <v>602</v>
      </c>
      <c r="U575" s="1" t="s">
        <v>596</v>
      </c>
      <c r="V575">
        <v>20260719</v>
      </c>
      <c r="W575">
        <v>46222.653275462966</v>
      </c>
    </row>
    <row r="576" spans="1:23" ht="30">
      <c r="A576" t="s">
        <v>583</v>
      </c>
      <c r="B576" t="s">
        <v>265</v>
      </c>
      <c r="C576" t="s">
        <v>23</v>
      </c>
      <c r="D576" t="s">
        <v>54</v>
      </c>
      <c r="E576" t="s">
        <v>250</v>
      </c>
      <c r="F576" s="1" t="s">
        <v>266</v>
      </c>
      <c r="G576" s="1" t="s">
        <v>267</v>
      </c>
      <c r="H576" s="1" t="s">
        <v>584</v>
      </c>
      <c r="I576">
        <v>29</v>
      </c>
      <c r="J576">
        <v>2</v>
      </c>
      <c r="K576">
        <v>0</v>
      </c>
      <c r="L576" s="11">
        <v>6.8966E-2</v>
      </c>
      <c r="M576" t="s">
        <v>597</v>
      </c>
      <c r="N576" s="12">
        <v>2</v>
      </c>
      <c r="O576" s="12">
        <v>3</v>
      </c>
      <c r="P576" s="12">
        <v>3</v>
      </c>
      <c r="Q576" s="12">
        <v>3</v>
      </c>
      <c r="R576" s="12">
        <v>3</v>
      </c>
      <c r="S576" s="12">
        <v>3</v>
      </c>
      <c r="T576" s="1" t="s">
        <v>602</v>
      </c>
      <c r="U576" s="1" t="s">
        <v>596</v>
      </c>
      <c r="V576">
        <v>20260719</v>
      </c>
      <c r="W576">
        <v>46222.653275462966</v>
      </c>
    </row>
    <row r="577" spans="1:23" ht="30">
      <c r="A577" t="s">
        <v>583</v>
      </c>
      <c r="B577" t="s">
        <v>265</v>
      </c>
      <c r="C577" t="s">
        <v>23</v>
      </c>
      <c r="D577" t="s">
        <v>54</v>
      </c>
      <c r="E577" t="s">
        <v>250</v>
      </c>
      <c r="F577" s="1" t="s">
        <v>266</v>
      </c>
      <c r="G577" s="1" t="s">
        <v>267</v>
      </c>
      <c r="H577" s="1" t="s">
        <v>584</v>
      </c>
      <c r="I577">
        <v>29</v>
      </c>
      <c r="J577">
        <v>2</v>
      </c>
      <c r="K577">
        <v>0</v>
      </c>
      <c r="L577" s="11">
        <v>6.8966E-2</v>
      </c>
      <c r="M577" t="s">
        <v>598</v>
      </c>
      <c r="N577" s="12">
        <v>2</v>
      </c>
      <c r="O577" s="12">
        <v>3</v>
      </c>
      <c r="P577" s="12">
        <v>3</v>
      </c>
      <c r="Q577" s="12">
        <v>2</v>
      </c>
      <c r="R577" s="12">
        <v>3</v>
      </c>
      <c r="S577" s="12">
        <v>3</v>
      </c>
      <c r="T577" s="1" t="s">
        <v>602</v>
      </c>
      <c r="U577" s="1" t="s">
        <v>596</v>
      </c>
      <c r="V577">
        <v>20260719</v>
      </c>
      <c r="W577">
        <v>46222.653275462966</v>
      </c>
    </row>
  </sheetData>
  <dataValidations count="1">
    <dataValidation type="list" sqref="N2:S577" xr:uid="{00000000-0002-0000-0600-000000000000}">
      <formula1>"0,1,2,3"</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93"/>
  <sheetViews>
    <sheetView topLeftCell="G1" workbookViewId="0"/>
  </sheetViews>
  <sheetFormatPr baseColWidth="10" defaultColWidth="8.83203125" defaultRowHeight="14"/>
  <cols>
    <col min="1" max="3" width="17" customWidth="1"/>
    <col min="4" max="4" width="39" customWidth="1"/>
    <col min="5" max="5" width="19" customWidth="1"/>
    <col min="6" max="15" width="25" customWidth="1"/>
  </cols>
  <sheetData>
    <row r="1" spans="1:15" ht="32">
      <c r="A1" s="5" t="s">
        <v>124</v>
      </c>
      <c r="B1" s="5" t="s">
        <v>125</v>
      </c>
      <c r="C1" s="5" t="s">
        <v>126</v>
      </c>
      <c r="D1" s="5" t="s">
        <v>127</v>
      </c>
      <c r="E1" s="5" t="s">
        <v>129</v>
      </c>
      <c r="F1" s="5" t="s">
        <v>137</v>
      </c>
      <c r="G1" s="5" t="s">
        <v>603</v>
      </c>
      <c r="H1" s="5" t="s">
        <v>604</v>
      </c>
      <c r="I1" s="5" t="s">
        <v>605</v>
      </c>
      <c r="J1" s="5" t="s">
        <v>606</v>
      </c>
      <c r="K1" s="5" t="s">
        <v>607</v>
      </c>
      <c r="L1" s="5" t="s">
        <v>608</v>
      </c>
      <c r="M1" s="5" t="s">
        <v>609</v>
      </c>
      <c r="N1" s="5" t="s">
        <v>610</v>
      </c>
      <c r="O1" s="5" t="s">
        <v>611</v>
      </c>
    </row>
    <row r="2" spans="1:15">
      <c r="A2" t="s">
        <v>141</v>
      </c>
      <c r="B2" t="s">
        <v>142</v>
      </c>
      <c r="C2" t="s">
        <v>16</v>
      </c>
      <c r="D2" t="s">
        <v>43</v>
      </c>
      <c r="E2" t="s">
        <v>143</v>
      </c>
      <c r="F2" s="6">
        <v>-9.375E-2</v>
      </c>
      <c r="G2" s="6">
        <f>SUMIF(Ratings_Long!$A$2:$A$577,$A2,Ratings_Long!$N$2:$N$577)/COUNTIF(Ratings_Long!$A$2:$A$577,$A2)</f>
        <v>0</v>
      </c>
      <c r="H2" s="6">
        <f>SUMIF(Ratings_Long!$A$2:$A$577,$A2,Ratings_Long!$O$2:$O$577)/COUNTIF(Ratings_Long!$A$2:$A$577,$A2)</f>
        <v>2.6666666666666665</v>
      </c>
      <c r="I2" s="6">
        <f>SUMIF(Ratings_Long!$A$2:$A$577,$A2,Ratings_Long!$P$2:$P$577)/COUNTIF(Ratings_Long!$A$2:$A$577,$A2)</f>
        <v>2.6666666666666665</v>
      </c>
      <c r="J2" s="6">
        <f>SUMIF(Ratings_Long!$A$2:$A$577,$A2,Ratings_Long!$Q$2:$Q$577)/COUNTIF(Ratings_Long!$A$2:$A$577,$A2)</f>
        <v>0</v>
      </c>
      <c r="K2" s="6">
        <f>SUMIF(Ratings_Long!$A$2:$A$577,$A2,Ratings_Long!$R$2:$R$577)/COUNTIF(Ratings_Long!$A$2:$A$577,$A2)</f>
        <v>3</v>
      </c>
      <c r="L2" s="6">
        <f>SUMIF(Ratings_Long!$A$2:$A$577,$A2,Ratings_Long!$S$2:$S$577)/COUNTIF(Ratings_Long!$A$2:$A$577,$A2)</f>
        <v>2.3333333333333335</v>
      </c>
      <c r="M2" s="6">
        <f t="shared" ref="M2:M33" si="0">AVERAGE(G2:J2)</f>
        <v>1.3333333333333333</v>
      </c>
      <c r="N2" s="6">
        <f t="shared" ref="N2:N33" si="1">AVERAGE(G2:L2)</f>
        <v>1.7777777777777777</v>
      </c>
      <c r="O2" s="6">
        <f t="shared" ref="O2:O33" si="2">(G2/3)*2-1</f>
        <v>-1</v>
      </c>
    </row>
    <row r="3" spans="1:15">
      <c r="A3" t="s">
        <v>148</v>
      </c>
      <c r="B3" t="s">
        <v>149</v>
      </c>
      <c r="C3" t="s">
        <v>16</v>
      </c>
      <c r="D3" t="s">
        <v>43</v>
      </c>
      <c r="E3" t="s">
        <v>143</v>
      </c>
      <c r="F3" s="6">
        <v>-9.375E-2</v>
      </c>
      <c r="G3" s="6">
        <f>SUMIF(Ratings_Long!$A$2:$A$577,$A3,Ratings_Long!$N$2:$N$577)/COUNTIF(Ratings_Long!$A$2:$A$577,$A3)</f>
        <v>0.66666666666666663</v>
      </c>
      <c r="H3" s="6">
        <f>SUMIF(Ratings_Long!$A$2:$A$577,$A3,Ratings_Long!$O$2:$O$577)/COUNTIF(Ratings_Long!$A$2:$A$577,$A3)</f>
        <v>3</v>
      </c>
      <c r="I3" s="6">
        <f>SUMIF(Ratings_Long!$A$2:$A$577,$A3,Ratings_Long!$P$2:$P$577)/COUNTIF(Ratings_Long!$A$2:$A$577,$A3)</f>
        <v>3</v>
      </c>
      <c r="J3" s="6">
        <f>SUMIF(Ratings_Long!$A$2:$A$577,$A3,Ratings_Long!$Q$2:$Q$577)/COUNTIF(Ratings_Long!$A$2:$A$577,$A3)</f>
        <v>0.66666666666666663</v>
      </c>
      <c r="K3" s="6">
        <f>SUMIF(Ratings_Long!$A$2:$A$577,$A3,Ratings_Long!$R$2:$R$577)/COUNTIF(Ratings_Long!$A$2:$A$577,$A3)</f>
        <v>2.3333333333333335</v>
      </c>
      <c r="L3" s="6">
        <f>SUMIF(Ratings_Long!$A$2:$A$577,$A3,Ratings_Long!$S$2:$S$577)/COUNTIF(Ratings_Long!$A$2:$A$577,$A3)</f>
        <v>3</v>
      </c>
      <c r="M3" s="6">
        <f t="shared" si="0"/>
        <v>1.8333333333333333</v>
      </c>
      <c r="N3" s="6">
        <f t="shared" si="1"/>
        <v>2.1111111111111112</v>
      </c>
      <c r="O3" s="6">
        <f t="shared" si="2"/>
        <v>-0.55555555555555558</v>
      </c>
    </row>
    <row r="4" spans="1:15">
      <c r="A4" t="s">
        <v>153</v>
      </c>
      <c r="B4" t="s">
        <v>154</v>
      </c>
      <c r="C4" t="s">
        <v>16</v>
      </c>
      <c r="D4" t="s">
        <v>43</v>
      </c>
      <c r="E4" t="s">
        <v>143</v>
      </c>
      <c r="F4" s="6">
        <v>-0.121212</v>
      </c>
      <c r="G4" s="6">
        <f>SUMIF(Ratings_Long!$A$2:$A$577,$A4,Ratings_Long!$N$2:$N$577)/COUNTIF(Ratings_Long!$A$2:$A$577,$A4)</f>
        <v>1</v>
      </c>
      <c r="H4" s="6">
        <f>SUMIF(Ratings_Long!$A$2:$A$577,$A4,Ratings_Long!$O$2:$O$577)/COUNTIF(Ratings_Long!$A$2:$A$577,$A4)</f>
        <v>3</v>
      </c>
      <c r="I4" s="6">
        <f>SUMIF(Ratings_Long!$A$2:$A$577,$A4,Ratings_Long!$P$2:$P$577)/COUNTIF(Ratings_Long!$A$2:$A$577,$A4)</f>
        <v>3</v>
      </c>
      <c r="J4" s="6">
        <f>SUMIF(Ratings_Long!$A$2:$A$577,$A4,Ratings_Long!$Q$2:$Q$577)/COUNTIF(Ratings_Long!$A$2:$A$577,$A4)</f>
        <v>0</v>
      </c>
      <c r="K4" s="6">
        <f>SUMIF(Ratings_Long!$A$2:$A$577,$A4,Ratings_Long!$R$2:$R$577)/COUNTIF(Ratings_Long!$A$2:$A$577,$A4)</f>
        <v>3</v>
      </c>
      <c r="L4" s="6">
        <f>SUMIF(Ratings_Long!$A$2:$A$577,$A4,Ratings_Long!$S$2:$S$577)/COUNTIF(Ratings_Long!$A$2:$A$577,$A4)</f>
        <v>2.6666666666666665</v>
      </c>
      <c r="M4" s="6">
        <f t="shared" si="0"/>
        <v>1.75</v>
      </c>
      <c r="N4" s="6">
        <f t="shared" si="1"/>
        <v>2.1111111111111112</v>
      </c>
      <c r="O4" s="6">
        <f t="shared" si="2"/>
        <v>-0.33333333333333337</v>
      </c>
    </row>
    <row r="5" spans="1:15">
      <c r="A5" t="s">
        <v>159</v>
      </c>
      <c r="B5" t="s">
        <v>160</v>
      </c>
      <c r="C5" t="s">
        <v>16</v>
      </c>
      <c r="D5" t="s">
        <v>43</v>
      </c>
      <c r="E5" t="s">
        <v>143</v>
      </c>
      <c r="F5" s="6">
        <v>-9.6773999999999999E-2</v>
      </c>
      <c r="G5" s="6">
        <f>SUMIF(Ratings_Long!$A$2:$A$577,$A5,Ratings_Long!$N$2:$N$577)/COUNTIF(Ratings_Long!$A$2:$A$577,$A5)</f>
        <v>0.66666666666666663</v>
      </c>
      <c r="H5" s="6">
        <f>SUMIF(Ratings_Long!$A$2:$A$577,$A5,Ratings_Long!$O$2:$O$577)/COUNTIF(Ratings_Long!$A$2:$A$577,$A5)</f>
        <v>2</v>
      </c>
      <c r="I5" s="6">
        <f>SUMIF(Ratings_Long!$A$2:$A$577,$A5,Ratings_Long!$P$2:$P$577)/COUNTIF(Ratings_Long!$A$2:$A$577,$A5)</f>
        <v>2</v>
      </c>
      <c r="J5" s="6">
        <f>SUMIF(Ratings_Long!$A$2:$A$577,$A5,Ratings_Long!$Q$2:$Q$577)/COUNTIF(Ratings_Long!$A$2:$A$577,$A5)</f>
        <v>0.66666666666666663</v>
      </c>
      <c r="K5" s="6">
        <f>SUMIF(Ratings_Long!$A$2:$A$577,$A5,Ratings_Long!$R$2:$R$577)/COUNTIF(Ratings_Long!$A$2:$A$577,$A5)</f>
        <v>2</v>
      </c>
      <c r="L5" s="6">
        <f>SUMIF(Ratings_Long!$A$2:$A$577,$A5,Ratings_Long!$S$2:$S$577)/COUNTIF(Ratings_Long!$A$2:$A$577,$A5)</f>
        <v>1.3333333333333333</v>
      </c>
      <c r="M5" s="6">
        <f t="shared" si="0"/>
        <v>1.3333333333333333</v>
      </c>
      <c r="N5" s="6">
        <f t="shared" si="1"/>
        <v>1.4444444444444444</v>
      </c>
      <c r="O5" s="6">
        <f t="shared" si="2"/>
        <v>-0.55555555555555558</v>
      </c>
    </row>
    <row r="6" spans="1:15">
      <c r="A6" t="s">
        <v>164</v>
      </c>
      <c r="B6" t="s">
        <v>165</v>
      </c>
      <c r="C6" t="s">
        <v>16</v>
      </c>
      <c r="D6" t="s">
        <v>43</v>
      </c>
      <c r="E6" t="s">
        <v>166</v>
      </c>
      <c r="F6" s="6">
        <v>-9.0909000000000004E-2</v>
      </c>
      <c r="G6" s="6">
        <f>SUMIF(Ratings_Long!$A$2:$A$577,$A6,Ratings_Long!$N$2:$N$577)/COUNTIF(Ratings_Long!$A$2:$A$577,$A6)</f>
        <v>0.33333333333333331</v>
      </c>
      <c r="H6" s="6">
        <f>SUMIF(Ratings_Long!$A$2:$A$577,$A6,Ratings_Long!$O$2:$O$577)/COUNTIF(Ratings_Long!$A$2:$A$577,$A6)</f>
        <v>3</v>
      </c>
      <c r="I6" s="6">
        <f>SUMIF(Ratings_Long!$A$2:$A$577,$A6,Ratings_Long!$P$2:$P$577)/COUNTIF(Ratings_Long!$A$2:$A$577,$A6)</f>
        <v>2.3333333333333335</v>
      </c>
      <c r="J6" s="6">
        <f>SUMIF(Ratings_Long!$A$2:$A$577,$A6,Ratings_Long!$Q$2:$Q$577)/COUNTIF(Ratings_Long!$A$2:$A$577,$A6)</f>
        <v>0.66666666666666663</v>
      </c>
      <c r="K6" s="6">
        <f>SUMIF(Ratings_Long!$A$2:$A$577,$A6,Ratings_Long!$R$2:$R$577)/COUNTIF(Ratings_Long!$A$2:$A$577,$A6)</f>
        <v>2.6666666666666665</v>
      </c>
      <c r="L6" s="6">
        <f>SUMIF(Ratings_Long!$A$2:$A$577,$A6,Ratings_Long!$S$2:$S$577)/COUNTIF(Ratings_Long!$A$2:$A$577,$A6)</f>
        <v>2.6666666666666665</v>
      </c>
      <c r="M6" s="6">
        <f t="shared" si="0"/>
        <v>1.5833333333333335</v>
      </c>
      <c r="N6" s="6">
        <f t="shared" si="1"/>
        <v>1.9444444444444444</v>
      </c>
      <c r="O6" s="6">
        <f t="shared" si="2"/>
        <v>-0.77777777777777779</v>
      </c>
    </row>
    <row r="7" spans="1:15">
      <c r="A7" t="s">
        <v>170</v>
      </c>
      <c r="B7" t="s">
        <v>171</v>
      </c>
      <c r="C7" t="s">
        <v>16</v>
      </c>
      <c r="D7" t="s">
        <v>43</v>
      </c>
      <c r="E7" t="s">
        <v>166</v>
      </c>
      <c r="F7" s="6">
        <v>-9.375E-2</v>
      </c>
      <c r="G7" s="6">
        <f>SUMIF(Ratings_Long!$A$2:$A$577,$A7,Ratings_Long!$N$2:$N$577)/COUNTIF(Ratings_Long!$A$2:$A$577,$A7)</f>
        <v>1</v>
      </c>
      <c r="H7" s="6">
        <f>SUMIF(Ratings_Long!$A$2:$A$577,$A7,Ratings_Long!$O$2:$O$577)/COUNTIF(Ratings_Long!$A$2:$A$577,$A7)</f>
        <v>3</v>
      </c>
      <c r="I7" s="6">
        <f>SUMIF(Ratings_Long!$A$2:$A$577,$A7,Ratings_Long!$P$2:$P$577)/COUNTIF(Ratings_Long!$A$2:$A$577,$A7)</f>
        <v>3</v>
      </c>
      <c r="J7" s="6">
        <f>SUMIF(Ratings_Long!$A$2:$A$577,$A7,Ratings_Long!$Q$2:$Q$577)/COUNTIF(Ratings_Long!$A$2:$A$577,$A7)</f>
        <v>1</v>
      </c>
      <c r="K7" s="6">
        <f>SUMIF(Ratings_Long!$A$2:$A$577,$A7,Ratings_Long!$R$2:$R$577)/COUNTIF(Ratings_Long!$A$2:$A$577,$A7)</f>
        <v>3</v>
      </c>
      <c r="L7" s="6">
        <f>SUMIF(Ratings_Long!$A$2:$A$577,$A7,Ratings_Long!$S$2:$S$577)/COUNTIF(Ratings_Long!$A$2:$A$577,$A7)</f>
        <v>3</v>
      </c>
      <c r="M7" s="6">
        <f t="shared" si="0"/>
        <v>2</v>
      </c>
      <c r="N7" s="6">
        <f t="shared" si="1"/>
        <v>2.3333333333333335</v>
      </c>
      <c r="O7" s="6">
        <f t="shared" si="2"/>
        <v>-0.33333333333333337</v>
      </c>
    </row>
    <row r="8" spans="1:15">
      <c r="A8" t="s">
        <v>175</v>
      </c>
      <c r="B8" t="s">
        <v>176</v>
      </c>
      <c r="C8" t="s">
        <v>16</v>
      </c>
      <c r="D8" t="s">
        <v>43</v>
      </c>
      <c r="E8" t="s">
        <v>166</v>
      </c>
      <c r="F8" s="6">
        <v>-6.4516000000000004E-2</v>
      </c>
      <c r="G8" s="6">
        <f>SUMIF(Ratings_Long!$A$2:$A$577,$A8,Ratings_Long!$N$2:$N$577)/COUNTIF(Ratings_Long!$A$2:$A$577,$A8)</f>
        <v>0.66666666666666663</v>
      </c>
      <c r="H8" s="6">
        <f>SUMIF(Ratings_Long!$A$2:$A$577,$A8,Ratings_Long!$O$2:$O$577)/COUNTIF(Ratings_Long!$A$2:$A$577,$A8)</f>
        <v>3</v>
      </c>
      <c r="I8" s="6">
        <f>SUMIF(Ratings_Long!$A$2:$A$577,$A8,Ratings_Long!$P$2:$P$577)/COUNTIF(Ratings_Long!$A$2:$A$577,$A8)</f>
        <v>2.6666666666666665</v>
      </c>
      <c r="J8" s="6">
        <f>SUMIF(Ratings_Long!$A$2:$A$577,$A8,Ratings_Long!$Q$2:$Q$577)/COUNTIF(Ratings_Long!$A$2:$A$577,$A8)</f>
        <v>0.66666666666666663</v>
      </c>
      <c r="K8" s="6">
        <f>SUMIF(Ratings_Long!$A$2:$A$577,$A8,Ratings_Long!$R$2:$R$577)/COUNTIF(Ratings_Long!$A$2:$A$577,$A8)</f>
        <v>3</v>
      </c>
      <c r="L8" s="6">
        <f>SUMIF(Ratings_Long!$A$2:$A$577,$A8,Ratings_Long!$S$2:$S$577)/COUNTIF(Ratings_Long!$A$2:$A$577,$A8)</f>
        <v>2.6666666666666665</v>
      </c>
      <c r="M8" s="6">
        <f t="shared" si="0"/>
        <v>1.75</v>
      </c>
      <c r="N8" s="6">
        <f t="shared" si="1"/>
        <v>2.1111111111111112</v>
      </c>
      <c r="O8" s="6">
        <f t="shared" si="2"/>
        <v>-0.55555555555555558</v>
      </c>
    </row>
    <row r="9" spans="1:15">
      <c r="A9" t="s">
        <v>180</v>
      </c>
      <c r="B9" t="s">
        <v>181</v>
      </c>
      <c r="C9" t="s">
        <v>16</v>
      </c>
      <c r="D9" t="s">
        <v>43</v>
      </c>
      <c r="E9" t="s">
        <v>166</v>
      </c>
      <c r="F9" s="6">
        <v>-0.125</v>
      </c>
      <c r="G9" s="6">
        <f>SUMIF(Ratings_Long!$A$2:$A$577,$A9,Ratings_Long!$N$2:$N$577)/COUNTIF(Ratings_Long!$A$2:$A$577,$A9)</f>
        <v>0</v>
      </c>
      <c r="H9" s="6">
        <f>SUMIF(Ratings_Long!$A$2:$A$577,$A9,Ratings_Long!$O$2:$O$577)/COUNTIF(Ratings_Long!$A$2:$A$577,$A9)</f>
        <v>3</v>
      </c>
      <c r="I9" s="6">
        <f>SUMIF(Ratings_Long!$A$2:$A$577,$A9,Ratings_Long!$P$2:$P$577)/COUNTIF(Ratings_Long!$A$2:$A$577,$A9)</f>
        <v>3</v>
      </c>
      <c r="J9" s="6">
        <f>SUMIF(Ratings_Long!$A$2:$A$577,$A9,Ratings_Long!$Q$2:$Q$577)/COUNTIF(Ratings_Long!$A$2:$A$577,$A9)</f>
        <v>0</v>
      </c>
      <c r="K9" s="6">
        <f>SUMIF(Ratings_Long!$A$2:$A$577,$A9,Ratings_Long!$R$2:$R$577)/COUNTIF(Ratings_Long!$A$2:$A$577,$A9)</f>
        <v>3</v>
      </c>
      <c r="L9" s="6">
        <f>SUMIF(Ratings_Long!$A$2:$A$577,$A9,Ratings_Long!$S$2:$S$577)/COUNTIF(Ratings_Long!$A$2:$A$577,$A9)</f>
        <v>3</v>
      </c>
      <c r="M9" s="6">
        <f t="shared" si="0"/>
        <v>1.5</v>
      </c>
      <c r="N9" s="6">
        <f t="shared" si="1"/>
        <v>2</v>
      </c>
      <c r="O9" s="6">
        <f t="shared" si="2"/>
        <v>-1</v>
      </c>
    </row>
    <row r="10" spans="1:15">
      <c r="A10" t="s">
        <v>185</v>
      </c>
      <c r="B10" t="s">
        <v>186</v>
      </c>
      <c r="C10" t="s">
        <v>16</v>
      </c>
      <c r="D10" t="s">
        <v>43</v>
      </c>
      <c r="E10" t="s">
        <v>187</v>
      </c>
      <c r="F10" s="6">
        <v>-8.5713999999999999E-2</v>
      </c>
      <c r="G10" s="6">
        <f>SUMIF(Ratings_Long!$A$2:$A$577,$A10,Ratings_Long!$N$2:$N$577)/COUNTIF(Ratings_Long!$A$2:$A$577,$A10)</f>
        <v>0</v>
      </c>
      <c r="H10" s="6">
        <f>SUMIF(Ratings_Long!$A$2:$A$577,$A10,Ratings_Long!$O$2:$O$577)/COUNTIF(Ratings_Long!$A$2:$A$577,$A10)</f>
        <v>3</v>
      </c>
      <c r="I10" s="6">
        <f>SUMIF(Ratings_Long!$A$2:$A$577,$A10,Ratings_Long!$P$2:$P$577)/COUNTIF(Ratings_Long!$A$2:$A$577,$A10)</f>
        <v>3</v>
      </c>
      <c r="J10" s="6">
        <f>SUMIF(Ratings_Long!$A$2:$A$577,$A10,Ratings_Long!$Q$2:$Q$577)/COUNTIF(Ratings_Long!$A$2:$A$577,$A10)</f>
        <v>0</v>
      </c>
      <c r="K10" s="6">
        <f>SUMIF(Ratings_Long!$A$2:$A$577,$A10,Ratings_Long!$R$2:$R$577)/COUNTIF(Ratings_Long!$A$2:$A$577,$A10)</f>
        <v>2</v>
      </c>
      <c r="L10" s="6">
        <f>SUMIF(Ratings_Long!$A$2:$A$577,$A10,Ratings_Long!$S$2:$S$577)/COUNTIF(Ratings_Long!$A$2:$A$577,$A10)</f>
        <v>3</v>
      </c>
      <c r="M10" s="6">
        <f t="shared" si="0"/>
        <v>1.5</v>
      </c>
      <c r="N10" s="6">
        <f t="shared" si="1"/>
        <v>1.8333333333333333</v>
      </c>
      <c r="O10" s="6">
        <f t="shared" si="2"/>
        <v>-1</v>
      </c>
    </row>
    <row r="11" spans="1:15">
      <c r="A11" t="s">
        <v>191</v>
      </c>
      <c r="B11" t="s">
        <v>192</v>
      </c>
      <c r="C11" t="s">
        <v>16</v>
      </c>
      <c r="D11" t="s">
        <v>43</v>
      </c>
      <c r="E11" t="s">
        <v>187</v>
      </c>
      <c r="F11" s="6">
        <v>-0.111111</v>
      </c>
      <c r="G11" s="6">
        <f>SUMIF(Ratings_Long!$A$2:$A$577,$A11,Ratings_Long!$N$2:$N$577)/COUNTIF(Ratings_Long!$A$2:$A$577,$A11)</f>
        <v>1</v>
      </c>
      <c r="H11" s="6">
        <f>SUMIF(Ratings_Long!$A$2:$A$577,$A11,Ratings_Long!$O$2:$O$577)/COUNTIF(Ratings_Long!$A$2:$A$577,$A11)</f>
        <v>3</v>
      </c>
      <c r="I11" s="6">
        <f>SUMIF(Ratings_Long!$A$2:$A$577,$A11,Ratings_Long!$P$2:$P$577)/COUNTIF(Ratings_Long!$A$2:$A$577,$A11)</f>
        <v>2.6666666666666665</v>
      </c>
      <c r="J11" s="6">
        <f>SUMIF(Ratings_Long!$A$2:$A$577,$A11,Ratings_Long!$Q$2:$Q$577)/COUNTIF(Ratings_Long!$A$2:$A$577,$A11)</f>
        <v>1</v>
      </c>
      <c r="K11" s="6">
        <f>SUMIF(Ratings_Long!$A$2:$A$577,$A11,Ratings_Long!$R$2:$R$577)/COUNTIF(Ratings_Long!$A$2:$A$577,$A11)</f>
        <v>2</v>
      </c>
      <c r="L11" s="6">
        <f>SUMIF(Ratings_Long!$A$2:$A$577,$A11,Ratings_Long!$S$2:$S$577)/COUNTIF(Ratings_Long!$A$2:$A$577,$A11)</f>
        <v>3</v>
      </c>
      <c r="M11" s="6">
        <f t="shared" si="0"/>
        <v>1.9166666666666665</v>
      </c>
      <c r="N11" s="6">
        <f t="shared" si="1"/>
        <v>2.1111111111111112</v>
      </c>
      <c r="O11" s="6">
        <f t="shared" si="2"/>
        <v>-0.33333333333333337</v>
      </c>
    </row>
    <row r="12" spans="1:15">
      <c r="A12" t="s">
        <v>196</v>
      </c>
      <c r="B12" t="s">
        <v>197</v>
      </c>
      <c r="C12" t="s">
        <v>16</v>
      </c>
      <c r="D12" t="s">
        <v>43</v>
      </c>
      <c r="E12" t="s">
        <v>187</v>
      </c>
      <c r="F12" s="6">
        <v>-8.8234999999999994E-2</v>
      </c>
      <c r="G12" s="6">
        <f>SUMIF(Ratings_Long!$A$2:$A$577,$A12,Ratings_Long!$N$2:$N$577)/COUNTIF(Ratings_Long!$A$2:$A$577,$A12)</f>
        <v>0.33333333333333331</v>
      </c>
      <c r="H12" s="6">
        <f>SUMIF(Ratings_Long!$A$2:$A$577,$A12,Ratings_Long!$O$2:$O$577)/COUNTIF(Ratings_Long!$A$2:$A$577,$A12)</f>
        <v>2.3333333333333335</v>
      </c>
      <c r="I12" s="6">
        <f>SUMIF(Ratings_Long!$A$2:$A$577,$A12,Ratings_Long!$P$2:$P$577)/COUNTIF(Ratings_Long!$A$2:$A$577,$A12)</f>
        <v>3</v>
      </c>
      <c r="J12" s="6">
        <f>SUMIF(Ratings_Long!$A$2:$A$577,$A12,Ratings_Long!$Q$2:$Q$577)/COUNTIF(Ratings_Long!$A$2:$A$577,$A12)</f>
        <v>0.33333333333333331</v>
      </c>
      <c r="K12" s="6">
        <f>SUMIF(Ratings_Long!$A$2:$A$577,$A12,Ratings_Long!$R$2:$R$577)/COUNTIF(Ratings_Long!$A$2:$A$577,$A12)</f>
        <v>2.3333333333333335</v>
      </c>
      <c r="L12" s="6">
        <f>SUMIF(Ratings_Long!$A$2:$A$577,$A12,Ratings_Long!$S$2:$S$577)/COUNTIF(Ratings_Long!$A$2:$A$577,$A12)</f>
        <v>3</v>
      </c>
      <c r="M12" s="6">
        <f t="shared" si="0"/>
        <v>1.5</v>
      </c>
      <c r="N12" s="6">
        <f t="shared" si="1"/>
        <v>1.8888888888888891</v>
      </c>
      <c r="O12" s="6">
        <f t="shared" si="2"/>
        <v>-0.77777777777777779</v>
      </c>
    </row>
    <row r="13" spans="1:15">
      <c r="A13" t="s">
        <v>201</v>
      </c>
      <c r="B13" t="s">
        <v>202</v>
      </c>
      <c r="C13" t="s">
        <v>16</v>
      </c>
      <c r="D13" t="s">
        <v>43</v>
      </c>
      <c r="E13" t="s">
        <v>187</v>
      </c>
      <c r="F13" s="6">
        <v>-9.375E-2</v>
      </c>
      <c r="G13" s="6">
        <f>SUMIF(Ratings_Long!$A$2:$A$577,$A13,Ratings_Long!$N$2:$N$577)/COUNTIF(Ratings_Long!$A$2:$A$577,$A13)</f>
        <v>0.33333333333333331</v>
      </c>
      <c r="H13" s="6">
        <f>SUMIF(Ratings_Long!$A$2:$A$577,$A13,Ratings_Long!$O$2:$O$577)/COUNTIF(Ratings_Long!$A$2:$A$577,$A13)</f>
        <v>3</v>
      </c>
      <c r="I13" s="6">
        <f>SUMIF(Ratings_Long!$A$2:$A$577,$A13,Ratings_Long!$P$2:$P$577)/COUNTIF(Ratings_Long!$A$2:$A$577,$A13)</f>
        <v>2.6666666666666665</v>
      </c>
      <c r="J13" s="6">
        <f>SUMIF(Ratings_Long!$A$2:$A$577,$A13,Ratings_Long!$Q$2:$Q$577)/COUNTIF(Ratings_Long!$A$2:$A$577,$A13)</f>
        <v>1.6666666666666667</v>
      </c>
      <c r="K13" s="6">
        <f>SUMIF(Ratings_Long!$A$2:$A$577,$A13,Ratings_Long!$R$2:$R$577)/COUNTIF(Ratings_Long!$A$2:$A$577,$A13)</f>
        <v>3</v>
      </c>
      <c r="L13" s="6">
        <f>SUMIF(Ratings_Long!$A$2:$A$577,$A13,Ratings_Long!$S$2:$S$577)/COUNTIF(Ratings_Long!$A$2:$A$577,$A13)</f>
        <v>3</v>
      </c>
      <c r="M13" s="6">
        <f t="shared" si="0"/>
        <v>1.9166666666666667</v>
      </c>
      <c r="N13" s="6">
        <f t="shared" si="1"/>
        <v>2.2777777777777781</v>
      </c>
      <c r="O13" s="6">
        <f t="shared" si="2"/>
        <v>-0.77777777777777779</v>
      </c>
    </row>
    <row r="14" spans="1:15">
      <c r="A14" t="s">
        <v>206</v>
      </c>
      <c r="B14" t="s">
        <v>207</v>
      </c>
      <c r="C14" t="s">
        <v>16</v>
      </c>
      <c r="D14" t="s">
        <v>43</v>
      </c>
      <c r="E14" t="s">
        <v>208</v>
      </c>
      <c r="F14" s="6">
        <v>-9.0909000000000004E-2</v>
      </c>
      <c r="G14" s="6">
        <f>SUMIF(Ratings_Long!$A$2:$A$577,$A14,Ratings_Long!$N$2:$N$577)/COUNTIF(Ratings_Long!$A$2:$A$577,$A14)</f>
        <v>0</v>
      </c>
      <c r="H14" s="6">
        <f>SUMIF(Ratings_Long!$A$2:$A$577,$A14,Ratings_Long!$O$2:$O$577)/COUNTIF(Ratings_Long!$A$2:$A$577,$A14)</f>
        <v>2</v>
      </c>
      <c r="I14" s="6">
        <f>SUMIF(Ratings_Long!$A$2:$A$577,$A14,Ratings_Long!$P$2:$P$577)/COUNTIF(Ratings_Long!$A$2:$A$577,$A14)</f>
        <v>2</v>
      </c>
      <c r="J14" s="6">
        <f>SUMIF(Ratings_Long!$A$2:$A$577,$A14,Ratings_Long!$Q$2:$Q$577)/COUNTIF(Ratings_Long!$A$2:$A$577,$A14)</f>
        <v>0.66666666666666663</v>
      </c>
      <c r="K14" s="6">
        <f>SUMIF(Ratings_Long!$A$2:$A$577,$A14,Ratings_Long!$R$2:$R$577)/COUNTIF(Ratings_Long!$A$2:$A$577,$A14)</f>
        <v>2</v>
      </c>
      <c r="L14" s="6">
        <f>SUMIF(Ratings_Long!$A$2:$A$577,$A14,Ratings_Long!$S$2:$S$577)/COUNTIF(Ratings_Long!$A$2:$A$577,$A14)</f>
        <v>2</v>
      </c>
      <c r="M14" s="6">
        <f t="shared" si="0"/>
        <v>1.1666666666666667</v>
      </c>
      <c r="N14" s="6">
        <f t="shared" si="1"/>
        <v>1.4444444444444446</v>
      </c>
      <c r="O14" s="6">
        <f t="shared" si="2"/>
        <v>-1</v>
      </c>
    </row>
    <row r="15" spans="1:15">
      <c r="A15" t="s">
        <v>212</v>
      </c>
      <c r="B15" t="s">
        <v>213</v>
      </c>
      <c r="C15" t="s">
        <v>16</v>
      </c>
      <c r="D15" t="s">
        <v>43</v>
      </c>
      <c r="E15" t="s">
        <v>208</v>
      </c>
      <c r="F15" s="6">
        <v>-0.121212</v>
      </c>
      <c r="G15" s="6">
        <f>SUMIF(Ratings_Long!$A$2:$A$577,$A15,Ratings_Long!$N$2:$N$577)/COUNTIF(Ratings_Long!$A$2:$A$577,$A15)</f>
        <v>1</v>
      </c>
      <c r="H15" s="6">
        <f>SUMIF(Ratings_Long!$A$2:$A$577,$A15,Ratings_Long!$O$2:$O$577)/COUNTIF(Ratings_Long!$A$2:$A$577,$A15)</f>
        <v>2</v>
      </c>
      <c r="I15" s="6">
        <f>SUMIF(Ratings_Long!$A$2:$A$577,$A15,Ratings_Long!$P$2:$P$577)/COUNTIF(Ratings_Long!$A$2:$A$577,$A15)</f>
        <v>2</v>
      </c>
      <c r="J15" s="6">
        <f>SUMIF(Ratings_Long!$A$2:$A$577,$A15,Ratings_Long!$Q$2:$Q$577)/COUNTIF(Ratings_Long!$A$2:$A$577,$A15)</f>
        <v>0.66666666666666663</v>
      </c>
      <c r="K15" s="6">
        <f>SUMIF(Ratings_Long!$A$2:$A$577,$A15,Ratings_Long!$R$2:$R$577)/COUNTIF(Ratings_Long!$A$2:$A$577,$A15)</f>
        <v>2.3333333333333335</v>
      </c>
      <c r="L15" s="6">
        <f>SUMIF(Ratings_Long!$A$2:$A$577,$A15,Ratings_Long!$S$2:$S$577)/COUNTIF(Ratings_Long!$A$2:$A$577,$A15)</f>
        <v>3</v>
      </c>
      <c r="M15" s="6">
        <f t="shared" si="0"/>
        <v>1.4166666666666667</v>
      </c>
      <c r="N15" s="6">
        <f t="shared" si="1"/>
        <v>1.8333333333333333</v>
      </c>
      <c r="O15" s="6">
        <f t="shared" si="2"/>
        <v>-0.33333333333333337</v>
      </c>
    </row>
    <row r="16" spans="1:15">
      <c r="A16" t="s">
        <v>217</v>
      </c>
      <c r="B16" t="s">
        <v>218</v>
      </c>
      <c r="C16" t="s">
        <v>16</v>
      </c>
      <c r="D16" t="s">
        <v>43</v>
      </c>
      <c r="E16" t="s">
        <v>208</v>
      </c>
      <c r="F16" s="6">
        <v>-0.1</v>
      </c>
      <c r="G16" s="6">
        <f>SUMIF(Ratings_Long!$A$2:$A$577,$A16,Ratings_Long!$N$2:$N$577)/COUNTIF(Ratings_Long!$A$2:$A$577,$A16)</f>
        <v>1</v>
      </c>
      <c r="H16" s="6">
        <f>SUMIF(Ratings_Long!$A$2:$A$577,$A16,Ratings_Long!$O$2:$O$577)/COUNTIF(Ratings_Long!$A$2:$A$577,$A16)</f>
        <v>2.6666666666666665</v>
      </c>
      <c r="I16" s="6">
        <f>SUMIF(Ratings_Long!$A$2:$A$577,$A16,Ratings_Long!$P$2:$P$577)/COUNTIF(Ratings_Long!$A$2:$A$577,$A16)</f>
        <v>2</v>
      </c>
      <c r="J16" s="6">
        <f>SUMIF(Ratings_Long!$A$2:$A$577,$A16,Ratings_Long!$Q$2:$Q$577)/COUNTIF(Ratings_Long!$A$2:$A$577,$A16)</f>
        <v>0.33333333333333331</v>
      </c>
      <c r="K16" s="6">
        <f>SUMIF(Ratings_Long!$A$2:$A$577,$A16,Ratings_Long!$R$2:$R$577)/COUNTIF(Ratings_Long!$A$2:$A$577,$A16)</f>
        <v>2</v>
      </c>
      <c r="L16" s="6">
        <f>SUMIF(Ratings_Long!$A$2:$A$577,$A16,Ratings_Long!$S$2:$S$577)/COUNTIF(Ratings_Long!$A$2:$A$577,$A16)</f>
        <v>2.6666666666666665</v>
      </c>
      <c r="M16" s="6">
        <f t="shared" si="0"/>
        <v>1.4999999999999998</v>
      </c>
      <c r="N16" s="6">
        <f t="shared" si="1"/>
        <v>1.7777777777777777</v>
      </c>
      <c r="O16" s="6">
        <f t="shared" si="2"/>
        <v>-0.33333333333333337</v>
      </c>
    </row>
    <row r="17" spans="1:15">
      <c r="A17" t="s">
        <v>222</v>
      </c>
      <c r="B17" t="s">
        <v>223</v>
      </c>
      <c r="C17" t="s">
        <v>16</v>
      </c>
      <c r="D17" t="s">
        <v>43</v>
      </c>
      <c r="E17" t="s">
        <v>208</v>
      </c>
      <c r="F17" s="6">
        <v>-9.375E-2</v>
      </c>
      <c r="G17" s="6">
        <f>SUMIF(Ratings_Long!$A$2:$A$577,$A17,Ratings_Long!$N$2:$N$577)/COUNTIF(Ratings_Long!$A$2:$A$577,$A17)</f>
        <v>1</v>
      </c>
      <c r="H17" s="6">
        <f>SUMIF(Ratings_Long!$A$2:$A$577,$A17,Ratings_Long!$O$2:$O$577)/COUNTIF(Ratings_Long!$A$2:$A$577,$A17)</f>
        <v>3</v>
      </c>
      <c r="I17" s="6">
        <f>SUMIF(Ratings_Long!$A$2:$A$577,$A17,Ratings_Long!$P$2:$P$577)/COUNTIF(Ratings_Long!$A$2:$A$577,$A17)</f>
        <v>3</v>
      </c>
      <c r="J17" s="6">
        <f>SUMIF(Ratings_Long!$A$2:$A$577,$A17,Ratings_Long!$Q$2:$Q$577)/COUNTIF(Ratings_Long!$A$2:$A$577,$A17)</f>
        <v>2</v>
      </c>
      <c r="K17" s="6">
        <f>SUMIF(Ratings_Long!$A$2:$A$577,$A17,Ratings_Long!$R$2:$R$577)/COUNTIF(Ratings_Long!$A$2:$A$577,$A17)</f>
        <v>3</v>
      </c>
      <c r="L17" s="6">
        <f>SUMIF(Ratings_Long!$A$2:$A$577,$A17,Ratings_Long!$S$2:$S$577)/COUNTIF(Ratings_Long!$A$2:$A$577,$A17)</f>
        <v>3</v>
      </c>
      <c r="M17" s="6">
        <f t="shared" si="0"/>
        <v>2.25</v>
      </c>
      <c r="N17" s="6">
        <f t="shared" si="1"/>
        <v>2.5</v>
      </c>
      <c r="O17" s="6">
        <f t="shared" si="2"/>
        <v>-0.33333333333333337</v>
      </c>
    </row>
    <row r="18" spans="1:15">
      <c r="A18" t="s">
        <v>227</v>
      </c>
      <c r="B18" t="s">
        <v>228</v>
      </c>
      <c r="C18" t="s">
        <v>16</v>
      </c>
      <c r="D18" t="s">
        <v>43</v>
      </c>
      <c r="E18" t="s">
        <v>229</v>
      </c>
      <c r="F18" s="6">
        <v>-0.103448</v>
      </c>
      <c r="G18" s="6">
        <f>SUMIF(Ratings_Long!$A$2:$A$577,$A18,Ratings_Long!$N$2:$N$577)/COUNTIF(Ratings_Long!$A$2:$A$577,$A18)</f>
        <v>0.33333333333333331</v>
      </c>
      <c r="H18" s="6">
        <f>SUMIF(Ratings_Long!$A$2:$A$577,$A18,Ratings_Long!$O$2:$O$577)/COUNTIF(Ratings_Long!$A$2:$A$577,$A18)</f>
        <v>2.6666666666666665</v>
      </c>
      <c r="I18" s="6">
        <f>SUMIF(Ratings_Long!$A$2:$A$577,$A18,Ratings_Long!$P$2:$P$577)/COUNTIF(Ratings_Long!$A$2:$A$577,$A18)</f>
        <v>2</v>
      </c>
      <c r="J18" s="6">
        <f>SUMIF(Ratings_Long!$A$2:$A$577,$A18,Ratings_Long!$Q$2:$Q$577)/COUNTIF(Ratings_Long!$A$2:$A$577,$A18)</f>
        <v>1</v>
      </c>
      <c r="K18" s="6">
        <f>SUMIF(Ratings_Long!$A$2:$A$577,$A18,Ratings_Long!$R$2:$R$577)/COUNTIF(Ratings_Long!$A$2:$A$577,$A18)</f>
        <v>3</v>
      </c>
      <c r="L18" s="6">
        <f>SUMIF(Ratings_Long!$A$2:$A$577,$A18,Ratings_Long!$S$2:$S$577)/COUNTIF(Ratings_Long!$A$2:$A$577,$A18)</f>
        <v>2.3333333333333335</v>
      </c>
      <c r="M18" s="6">
        <f t="shared" si="0"/>
        <v>1.5</v>
      </c>
      <c r="N18" s="6">
        <f t="shared" si="1"/>
        <v>1.8888888888888891</v>
      </c>
      <c r="O18" s="6">
        <f t="shared" si="2"/>
        <v>-0.77777777777777779</v>
      </c>
    </row>
    <row r="19" spans="1:15">
      <c r="A19" t="s">
        <v>233</v>
      </c>
      <c r="B19" t="s">
        <v>234</v>
      </c>
      <c r="C19" t="s">
        <v>16</v>
      </c>
      <c r="D19" t="s">
        <v>43</v>
      </c>
      <c r="E19" t="s">
        <v>229</v>
      </c>
      <c r="F19" s="6">
        <v>-8.5713999999999999E-2</v>
      </c>
      <c r="G19" s="6">
        <f>SUMIF(Ratings_Long!$A$2:$A$577,$A19,Ratings_Long!$N$2:$N$577)/COUNTIF(Ratings_Long!$A$2:$A$577,$A19)</f>
        <v>0</v>
      </c>
      <c r="H19" s="6">
        <f>SUMIF(Ratings_Long!$A$2:$A$577,$A19,Ratings_Long!$O$2:$O$577)/COUNTIF(Ratings_Long!$A$2:$A$577,$A19)</f>
        <v>3</v>
      </c>
      <c r="I19" s="6">
        <f>SUMIF(Ratings_Long!$A$2:$A$577,$A19,Ratings_Long!$P$2:$P$577)/COUNTIF(Ratings_Long!$A$2:$A$577,$A19)</f>
        <v>2.6666666666666665</v>
      </c>
      <c r="J19" s="6">
        <f>SUMIF(Ratings_Long!$A$2:$A$577,$A19,Ratings_Long!$Q$2:$Q$577)/COUNTIF(Ratings_Long!$A$2:$A$577,$A19)</f>
        <v>0.33333333333333331</v>
      </c>
      <c r="K19" s="6">
        <f>SUMIF(Ratings_Long!$A$2:$A$577,$A19,Ratings_Long!$R$2:$R$577)/COUNTIF(Ratings_Long!$A$2:$A$577,$A19)</f>
        <v>2</v>
      </c>
      <c r="L19" s="6">
        <f>SUMIF(Ratings_Long!$A$2:$A$577,$A19,Ratings_Long!$S$2:$S$577)/COUNTIF(Ratings_Long!$A$2:$A$577,$A19)</f>
        <v>2.3333333333333335</v>
      </c>
      <c r="M19" s="6">
        <f t="shared" si="0"/>
        <v>1.4999999999999998</v>
      </c>
      <c r="N19" s="6">
        <f t="shared" si="1"/>
        <v>1.7222222222222221</v>
      </c>
      <c r="O19" s="6">
        <f t="shared" si="2"/>
        <v>-1</v>
      </c>
    </row>
    <row r="20" spans="1:15">
      <c r="A20" t="s">
        <v>238</v>
      </c>
      <c r="B20" t="s">
        <v>239</v>
      </c>
      <c r="C20" t="s">
        <v>16</v>
      </c>
      <c r="D20" t="s">
        <v>43</v>
      </c>
      <c r="E20" t="s">
        <v>229</v>
      </c>
      <c r="F20" s="6">
        <v>-9.375E-2</v>
      </c>
      <c r="G20" s="6">
        <f>SUMIF(Ratings_Long!$A$2:$A$577,$A20,Ratings_Long!$N$2:$N$577)/COUNTIF(Ratings_Long!$A$2:$A$577,$A20)</f>
        <v>0</v>
      </c>
      <c r="H20" s="6">
        <f>SUMIF(Ratings_Long!$A$2:$A$577,$A20,Ratings_Long!$O$2:$O$577)/COUNTIF(Ratings_Long!$A$2:$A$577,$A20)</f>
        <v>2</v>
      </c>
      <c r="I20" s="6">
        <f>SUMIF(Ratings_Long!$A$2:$A$577,$A20,Ratings_Long!$P$2:$P$577)/COUNTIF(Ratings_Long!$A$2:$A$577,$A20)</f>
        <v>2</v>
      </c>
      <c r="J20" s="6">
        <f>SUMIF(Ratings_Long!$A$2:$A$577,$A20,Ratings_Long!$Q$2:$Q$577)/COUNTIF(Ratings_Long!$A$2:$A$577,$A20)</f>
        <v>0.66666666666666663</v>
      </c>
      <c r="K20" s="6">
        <f>SUMIF(Ratings_Long!$A$2:$A$577,$A20,Ratings_Long!$R$2:$R$577)/COUNTIF(Ratings_Long!$A$2:$A$577,$A20)</f>
        <v>2</v>
      </c>
      <c r="L20" s="6">
        <f>SUMIF(Ratings_Long!$A$2:$A$577,$A20,Ratings_Long!$S$2:$S$577)/COUNTIF(Ratings_Long!$A$2:$A$577,$A20)</f>
        <v>2</v>
      </c>
      <c r="M20" s="6">
        <f t="shared" si="0"/>
        <v>1.1666666666666667</v>
      </c>
      <c r="N20" s="6">
        <f t="shared" si="1"/>
        <v>1.4444444444444446</v>
      </c>
      <c r="O20" s="6">
        <f t="shared" si="2"/>
        <v>-1</v>
      </c>
    </row>
    <row r="21" spans="1:15">
      <c r="A21" t="s">
        <v>243</v>
      </c>
      <c r="B21" t="s">
        <v>244</v>
      </c>
      <c r="C21" t="s">
        <v>16</v>
      </c>
      <c r="D21" t="s">
        <v>43</v>
      </c>
      <c r="E21" t="s">
        <v>229</v>
      </c>
      <c r="F21" s="6">
        <v>-0.1</v>
      </c>
      <c r="G21" s="6">
        <f>SUMIF(Ratings_Long!$A$2:$A$577,$A21,Ratings_Long!$N$2:$N$577)/COUNTIF(Ratings_Long!$A$2:$A$577,$A21)</f>
        <v>0</v>
      </c>
      <c r="H21" s="6">
        <f>SUMIF(Ratings_Long!$A$2:$A$577,$A21,Ratings_Long!$O$2:$O$577)/COUNTIF(Ratings_Long!$A$2:$A$577,$A21)</f>
        <v>3</v>
      </c>
      <c r="I21" s="6">
        <f>SUMIF(Ratings_Long!$A$2:$A$577,$A21,Ratings_Long!$P$2:$P$577)/COUNTIF(Ratings_Long!$A$2:$A$577,$A21)</f>
        <v>3</v>
      </c>
      <c r="J21" s="6">
        <f>SUMIF(Ratings_Long!$A$2:$A$577,$A21,Ratings_Long!$Q$2:$Q$577)/COUNTIF(Ratings_Long!$A$2:$A$577,$A21)</f>
        <v>0</v>
      </c>
      <c r="K21" s="6">
        <f>SUMIF(Ratings_Long!$A$2:$A$577,$A21,Ratings_Long!$R$2:$R$577)/COUNTIF(Ratings_Long!$A$2:$A$577,$A21)</f>
        <v>3</v>
      </c>
      <c r="L21" s="6">
        <f>SUMIF(Ratings_Long!$A$2:$A$577,$A21,Ratings_Long!$S$2:$S$577)/COUNTIF(Ratings_Long!$A$2:$A$577,$A21)</f>
        <v>3</v>
      </c>
      <c r="M21" s="6">
        <f t="shared" si="0"/>
        <v>1.5</v>
      </c>
      <c r="N21" s="6">
        <f t="shared" si="1"/>
        <v>2</v>
      </c>
      <c r="O21" s="6">
        <f t="shared" si="2"/>
        <v>-1</v>
      </c>
    </row>
    <row r="22" spans="1:15">
      <c r="A22" t="s">
        <v>248</v>
      </c>
      <c r="B22" t="s">
        <v>249</v>
      </c>
      <c r="C22" t="s">
        <v>16</v>
      </c>
      <c r="D22" t="s">
        <v>43</v>
      </c>
      <c r="E22" t="s">
        <v>250</v>
      </c>
      <c r="F22" s="6">
        <v>-0.12903200000000001</v>
      </c>
      <c r="G22" s="6">
        <f>SUMIF(Ratings_Long!$A$2:$A$577,$A22,Ratings_Long!$N$2:$N$577)/COUNTIF(Ratings_Long!$A$2:$A$577,$A22)</f>
        <v>1</v>
      </c>
      <c r="H22" s="6">
        <f>SUMIF(Ratings_Long!$A$2:$A$577,$A22,Ratings_Long!$O$2:$O$577)/COUNTIF(Ratings_Long!$A$2:$A$577,$A22)</f>
        <v>2</v>
      </c>
      <c r="I22" s="6">
        <f>SUMIF(Ratings_Long!$A$2:$A$577,$A22,Ratings_Long!$P$2:$P$577)/COUNTIF(Ratings_Long!$A$2:$A$577,$A22)</f>
        <v>2.6666666666666665</v>
      </c>
      <c r="J22" s="6">
        <f>SUMIF(Ratings_Long!$A$2:$A$577,$A22,Ratings_Long!$Q$2:$Q$577)/COUNTIF(Ratings_Long!$A$2:$A$577,$A22)</f>
        <v>1.6666666666666667</v>
      </c>
      <c r="K22" s="6">
        <f>SUMIF(Ratings_Long!$A$2:$A$577,$A22,Ratings_Long!$R$2:$R$577)/COUNTIF(Ratings_Long!$A$2:$A$577,$A22)</f>
        <v>2</v>
      </c>
      <c r="L22" s="6">
        <f>SUMIF(Ratings_Long!$A$2:$A$577,$A22,Ratings_Long!$S$2:$S$577)/COUNTIF(Ratings_Long!$A$2:$A$577,$A22)</f>
        <v>2</v>
      </c>
      <c r="M22" s="6">
        <f t="shared" si="0"/>
        <v>1.8333333333333333</v>
      </c>
      <c r="N22" s="6">
        <f t="shared" si="1"/>
        <v>1.8888888888888886</v>
      </c>
      <c r="O22" s="6">
        <f t="shared" si="2"/>
        <v>-0.33333333333333337</v>
      </c>
    </row>
    <row r="23" spans="1:15">
      <c r="A23" t="s">
        <v>254</v>
      </c>
      <c r="B23" t="s">
        <v>255</v>
      </c>
      <c r="C23" t="s">
        <v>16</v>
      </c>
      <c r="D23" t="s">
        <v>43</v>
      </c>
      <c r="E23" t="s">
        <v>250</v>
      </c>
      <c r="F23" s="6">
        <v>-9.0909000000000004E-2</v>
      </c>
      <c r="G23" s="6">
        <f>SUMIF(Ratings_Long!$A$2:$A$577,$A23,Ratings_Long!$N$2:$N$577)/COUNTIF(Ratings_Long!$A$2:$A$577,$A23)</f>
        <v>1</v>
      </c>
      <c r="H23" s="6">
        <f>SUMIF(Ratings_Long!$A$2:$A$577,$A23,Ratings_Long!$O$2:$O$577)/COUNTIF(Ratings_Long!$A$2:$A$577,$A23)</f>
        <v>3</v>
      </c>
      <c r="I23" s="6">
        <f>SUMIF(Ratings_Long!$A$2:$A$577,$A23,Ratings_Long!$P$2:$P$577)/COUNTIF(Ratings_Long!$A$2:$A$577,$A23)</f>
        <v>3</v>
      </c>
      <c r="J23" s="6">
        <f>SUMIF(Ratings_Long!$A$2:$A$577,$A23,Ratings_Long!$Q$2:$Q$577)/COUNTIF(Ratings_Long!$A$2:$A$577,$A23)</f>
        <v>0.66666666666666663</v>
      </c>
      <c r="K23" s="6">
        <f>SUMIF(Ratings_Long!$A$2:$A$577,$A23,Ratings_Long!$R$2:$R$577)/COUNTIF(Ratings_Long!$A$2:$A$577,$A23)</f>
        <v>3</v>
      </c>
      <c r="L23" s="6">
        <f>SUMIF(Ratings_Long!$A$2:$A$577,$A23,Ratings_Long!$S$2:$S$577)/COUNTIF(Ratings_Long!$A$2:$A$577,$A23)</f>
        <v>3</v>
      </c>
      <c r="M23" s="6">
        <f t="shared" si="0"/>
        <v>1.9166666666666667</v>
      </c>
      <c r="N23" s="6">
        <f t="shared" si="1"/>
        <v>2.2777777777777781</v>
      </c>
      <c r="O23" s="6">
        <f t="shared" si="2"/>
        <v>-0.33333333333333337</v>
      </c>
    </row>
    <row r="24" spans="1:15">
      <c r="A24" t="s">
        <v>259</v>
      </c>
      <c r="B24" t="s">
        <v>260</v>
      </c>
      <c r="C24" t="s">
        <v>16</v>
      </c>
      <c r="D24" t="s">
        <v>43</v>
      </c>
      <c r="E24" t="s">
        <v>250</v>
      </c>
      <c r="F24" s="6">
        <v>-0.107143</v>
      </c>
      <c r="G24" s="6">
        <f>SUMIF(Ratings_Long!$A$2:$A$577,$A24,Ratings_Long!$N$2:$N$577)/COUNTIF(Ratings_Long!$A$2:$A$577,$A24)</f>
        <v>0</v>
      </c>
      <c r="H24" s="6">
        <f>SUMIF(Ratings_Long!$A$2:$A$577,$A24,Ratings_Long!$O$2:$O$577)/COUNTIF(Ratings_Long!$A$2:$A$577,$A24)</f>
        <v>2</v>
      </c>
      <c r="I24" s="6">
        <f>SUMIF(Ratings_Long!$A$2:$A$577,$A24,Ratings_Long!$P$2:$P$577)/COUNTIF(Ratings_Long!$A$2:$A$577,$A24)</f>
        <v>2.3333333333333335</v>
      </c>
      <c r="J24" s="6">
        <f>SUMIF(Ratings_Long!$A$2:$A$577,$A24,Ratings_Long!$Q$2:$Q$577)/COUNTIF(Ratings_Long!$A$2:$A$577,$A24)</f>
        <v>0.66666666666666663</v>
      </c>
      <c r="K24" s="6">
        <f>SUMIF(Ratings_Long!$A$2:$A$577,$A24,Ratings_Long!$R$2:$R$577)/COUNTIF(Ratings_Long!$A$2:$A$577,$A24)</f>
        <v>2.6666666666666665</v>
      </c>
      <c r="L24" s="6">
        <f>SUMIF(Ratings_Long!$A$2:$A$577,$A24,Ratings_Long!$S$2:$S$577)/COUNTIF(Ratings_Long!$A$2:$A$577,$A24)</f>
        <v>2</v>
      </c>
      <c r="M24" s="6">
        <f t="shared" si="0"/>
        <v>1.2500000000000002</v>
      </c>
      <c r="N24" s="6">
        <f t="shared" si="1"/>
        <v>1.6111111111111114</v>
      </c>
      <c r="O24" s="6">
        <f t="shared" si="2"/>
        <v>-1</v>
      </c>
    </row>
    <row r="25" spans="1:15">
      <c r="A25" t="s">
        <v>264</v>
      </c>
      <c r="B25" t="s">
        <v>265</v>
      </c>
      <c r="C25" t="s">
        <v>16</v>
      </c>
      <c r="D25" t="s">
        <v>43</v>
      </c>
      <c r="E25" t="s">
        <v>250</v>
      </c>
      <c r="F25" s="6">
        <v>-9.0909000000000004E-2</v>
      </c>
      <c r="G25" s="6">
        <f>SUMIF(Ratings_Long!$A$2:$A$577,$A25,Ratings_Long!$N$2:$N$577)/COUNTIF(Ratings_Long!$A$2:$A$577,$A25)</f>
        <v>0</v>
      </c>
      <c r="H25" s="6">
        <f>SUMIF(Ratings_Long!$A$2:$A$577,$A25,Ratings_Long!$O$2:$O$577)/COUNTIF(Ratings_Long!$A$2:$A$577,$A25)</f>
        <v>3</v>
      </c>
      <c r="I25" s="6">
        <f>SUMIF(Ratings_Long!$A$2:$A$577,$A25,Ratings_Long!$P$2:$P$577)/COUNTIF(Ratings_Long!$A$2:$A$577,$A25)</f>
        <v>3</v>
      </c>
      <c r="J25" s="6">
        <f>SUMIF(Ratings_Long!$A$2:$A$577,$A25,Ratings_Long!$Q$2:$Q$577)/COUNTIF(Ratings_Long!$A$2:$A$577,$A25)</f>
        <v>0.66666666666666663</v>
      </c>
      <c r="K25" s="6">
        <f>SUMIF(Ratings_Long!$A$2:$A$577,$A25,Ratings_Long!$R$2:$R$577)/COUNTIF(Ratings_Long!$A$2:$A$577,$A25)</f>
        <v>3</v>
      </c>
      <c r="L25" s="6">
        <f>SUMIF(Ratings_Long!$A$2:$A$577,$A25,Ratings_Long!$S$2:$S$577)/COUNTIF(Ratings_Long!$A$2:$A$577,$A25)</f>
        <v>2.3333333333333335</v>
      </c>
      <c r="M25" s="6">
        <f t="shared" si="0"/>
        <v>1.6666666666666667</v>
      </c>
      <c r="N25" s="6">
        <f t="shared" si="1"/>
        <v>2.0000000000000004</v>
      </c>
      <c r="O25" s="6">
        <f t="shared" si="2"/>
        <v>-1</v>
      </c>
    </row>
    <row r="26" spans="1:15">
      <c r="A26" t="s">
        <v>269</v>
      </c>
      <c r="B26" t="s">
        <v>142</v>
      </c>
      <c r="C26" t="s">
        <v>17</v>
      </c>
      <c r="D26" t="s">
        <v>45</v>
      </c>
      <c r="E26" t="s">
        <v>143</v>
      </c>
      <c r="F26" s="6">
        <v>-0.13888900000000001</v>
      </c>
      <c r="G26" s="6">
        <f>SUMIF(Ratings_Long!$A$2:$A$577,$A26,Ratings_Long!$N$2:$N$577)/COUNTIF(Ratings_Long!$A$2:$A$577,$A26)</f>
        <v>0.33333333333333331</v>
      </c>
      <c r="H26" s="6">
        <f>SUMIF(Ratings_Long!$A$2:$A$577,$A26,Ratings_Long!$O$2:$O$577)/COUNTIF(Ratings_Long!$A$2:$A$577,$A26)</f>
        <v>3</v>
      </c>
      <c r="I26" s="6">
        <f>SUMIF(Ratings_Long!$A$2:$A$577,$A26,Ratings_Long!$P$2:$P$577)/COUNTIF(Ratings_Long!$A$2:$A$577,$A26)</f>
        <v>3</v>
      </c>
      <c r="J26" s="6">
        <f>SUMIF(Ratings_Long!$A$2:$A$577,$A26,Ratings_Long!$Q$2:$Q$577)/COUNTIF(Ratings_Long!$A$2:$A$577,$A26)</f>
        <v>0.33333333333333331</v>
      </c>
      <c r="K26" s="6">
        <f>SUMIF(Ratings_Long!$A$2:$A$577,$A26,Ratings_Long!$R$2:$R$577)/COUNTIF(Ratings_Long!$A$2:$A$577,$A26)</f>
        <v>2.3333333333333335</v>
      </c>
      <c r="L26" s="6">
        <f>SUMIF(Ratings_Long!$A$2:$A$577,$A26,Ratings_Long!$S$2:$S$577)/COUNTIF(Ratings_Long!$A$2:$A$577,$A26)</f>
        <v>3</v>
      </c>
      <c r="M26" s="6">
        <f t="shared" si="0"/>
        <v>1.6666666666666667</v>
      </c>
      <c r="N26" s="6">
        <f t="shared" si="1"/>
        <v>2</v>
      </c>
      <c r="O26" s="6">
        <f t="shared" si="2"/>
        <v>-0.77777777777777779</v>
      </c>
    </row>
    <row r="27" spans="1:15">
      <c r="A27" t="s">
        <v>272</v>
      </c>
      <c r="B27" t="s">
        <v>149</v>
      </c>
      <c r="C27" t="s">
        <v>17</v>
      </c>
      <c r="D27" t="s">
        <v>45</v>
      </c>
      <c r="E27" t="s">
        <v>143</v>
      </c>
      <c r="F27" s="6">
        <v>-0.13888900000000001</v>
      </c>
      <c r="G27" s="6">
        <f>SUMIF(Ratings_Long!$A$2:$A$577,$A27,Ratings_Long!$N$2:$N$577)/COUNTIF(Ratings_Long!$A$2:$A$577,$A27)</f>
        <v>0</v>
      </c>
      <c r="H27" s="6">
        <f>SUMIF(Ratings_Long!$A$2:$A$577,$A27,Ratings_Long!$O$2:$O$577)/COUNTIF(Ratings_Long!$A$2:$A$577,$A27)</f>
        <v>2</v>
      </c>
      <c r="I27" s="6">
        <f>SUMIF(Ratings_Long!$A$2:$A$577,$A27,Ratings_Long!$P$2:$P$577)/COUNTIF(Ratings_Long!$A$2:$A$577,$A27)</f>
        <v>2.3333333333333335</v>
      </c>
      <c r="J27" s="6">
        <f>SUMIF(Ratings_Long!$A$2:$A$577,$A27,Ratings_Long!$Q$2:$Q$577)/COUNTIF(Ratings_Long!$A$2:$A$577,$A27)</f>
        <v>0</v>
      </c>
      <c r="K27" s="6">
        <f>SUMIF(Ratings_Long!$A$2:$A$577,$A27,Ratings_Long!$R$2:$R$577)/COUNTIF(Ratings_Long!$A$2:$A$577,$A27)</f>
        <v>2</v>
      </c>
      <c r="L27" s="6">
        <f>SUMIF(Ratings_Long!$A$2:$A$577,$A27,Ratings_Long!$S$2:$S$577)/COUNTIF(Ratings_Long!$A$2:$A$577,$A27)</f>
        <v>2.3333333333333335</v>
      </c>
      <c r="M27" s="6">
        <f t="shared" si="0"/>
        <v>1.0833333333333335</v>
      </c>
      <c r="N27" s="6">
        <f t="shared" si="1"/>
        <v>1.4444444444444446</v>
      </c>
      <c r="O27" s="6">
        <f t="shared" si="2"/>
        <v>-1</v>
      </c>
    </row>
    <row r="28" spans="1:15">
      <c r="A28" t="s">
        <v>274</v>
      </c>
      <c r="B28" t="s">
        <v>154</v>
      </c>
      <c r="C28" t="s">
        <v>17</v>
      </c>
      <c r="D28" t="s">
        <v>45</v>
      </c>
      <c r="E28" t="s">
        <v>143</v>
      </c>
      <c r="F28" s="6">
        <v>-0.147059</v>
      </c>
      <c r="G28" s="6">
        <f>SUMIF(Ratings_Long!$A$2:$A$577,$A28,Ratings_Long!$N$2:$N$577)/COUNTIF(Ratings_Long!$A$2:$A$577,$A28)</f>
        <v>0</v>
      </c>
      <c r="H28" s="6">
        <f>SUMIF(Ratings_Long!$A$2:$A$577,$A28,Ratings_Long!$O$2:$O$577)/COUNTIF(Ratings_Long!$A$2:$A$577,$A28)</f>
        <v>3</v>
      </c>
      <c r="I28" s="6">
        <f>SUMIF(Ratings_Long!$A$2:$A$577,$A28,Ratings_Long!$P$2:$P$577)/COUNTIF(Ratings_Long!$A$2:$A$577,$A28)</f>
        <v>2.6666666666666665</v>
      </c>
      <c r="J28" s="6">
        <f>SUMIF(Ratings_Long!$A$2:$A$577,$A28,Ratings_Long!$Q$2:$Q$577)/COUNTIF(Ratings_Long!$A$2:$A$577,$A28)</f>
        <v>0</v>
      </c>
      <c r="K28" s="6">
        <f>SUMIF(Ratings_Long!$A$2:$A$577,$A28,Ratings_Long!$R$2:$R$577)/COUNTIF(Ratings_Long!$A$2:$A$577,$A28)</f>
        <v>2</v>
      </c>
      <c r="L28" s="6">
        <f>SUMIF(Ratings_Long!$A$2:$A$577,$A28,Ratings_Long!$S$2:$S$577)/COUNTIF(Ratings_Long!$A$2:$A$577,$A28)</f>
        <v>3</v>
      </c>
      <c r="M28" s="6">
        <f t="shared" si="0"/>
        <v>1.4166666666666665</v>
      </c>
      <c r="N28" s="6">
        <f t="shared" si="1"/>
        <v>1.7777777777777777</v>
      </c>
      <c r="O28" s="6">
        <f t="shared" si="2"/>
        <v>-1</v>
      </c>
    </row>
    <row r="29" spans="1:15">
      <c r="A29" t="s">
        <v>276</v>
      </c>
      <c r="B29" t="s">
        <v>160</v>
      </c>
      <c r="C29" t="s">
        <v>17</v>
      </c>
      <c r="D29" t="s">
        <v>45</v>
      </c>
      <c r="E29" t="s">
        <v>143</v>
      </c>
      <c r="F29" s="6">
        <v>-0.14285700000000001</v>
      </c>
      <c r="G29" s="6">
        <f>SUMIF(Ratings_Long!$A$2:$A$577,$A29,Ratings_Long!$N$2:$N$577)/COUNTIF(Ratings_Long!$A$2:$A$577,$A29)</f>
        <v>0.33333333333333331</v>
      </c>
      <c r="H29" s="6">
        <f>SUMIF(Ratings_Long!$A$2:$A$577,$A29,Ratings_Long!$O$2:$O$577)/COUNTIF(Ratings_Long!$A$2:$A$577,$A29)</f>
        <v>2</v>
      </c>
      <c r="I29" s="6">
        <f>SUMIF(Ratings_Long!$A$2:$A$577,$A29,Ratings_Long!$P$2:$P$577)/COUNTIF(Ratings_Long!$A$2:$A$577,$A29)</f>
        <v>1.3333333333333333</v>
      </c>
      <c r="J29" s="6">
        <f>SUMIF(Ratings_Long!$A$2:$A$577,$A29,Ratings_Long!$Q$2:$Q$577)/COUNTIF(Ratings_Long!$A$2:$A$577,$A29)</f>
        <v>0.66666666666666663</v>
      </c>
      <c r="K29" s="6">
        <f>SUMIF(Ratings_Long!$A$2:$A$577,$A29,Ratings_Long!$R$2:$R$577)/COUNTIF(Ratings_Long!$A$2:$A$577,$A29)</f>
        <v>1.6666666666666667</v>
      </c>
      <c r="L29" s="6">
        <f>SUMIF(Ratings_Long!$A$2:$A$577,$A29,Ratings_Long!$S$2:$S$577)/COUNTIF(Ratings_Long!$A$2:$A$577,$A29)</f>
        <v>1.6666666666666667</v>
      </c>
      <c r="M29" s="6">
        <f t="shared" si="0"/>
        <v>1.0833333333333335</v>
      </c>
      <c r="N29" s="6">
        <f t="shared" si="1"/>
        <v>1.2777777777777779</v>
      </c>
      <c r="O29" s="6">
        <f t="shared" si="2"/>
        <v>-0.77777777777777779</v>
      </c>
    </row>
    <row r="30" spans="1:15">
      <c r="A30" t="s">
        <v>278</v>
      </c>
      <c r="B30" t="s">
        <v>165</v>
      </c>
      <c r="C30" t="s">
        <v>17</v>
      </c>
      <c r="D30" t="s">
        <v>45</v>
      </c>
      <c r="E30" t="s">
        <v>166</v>
      </c>
      <c r="F30" s="6">
        <v>-0.13513500000000001</v>
      </c>
      <c r="G30" s="6">
        <f>SUMIF(Ratings_Long!$A$2:$A$577,$A30,Ratings_Long!$N$2:$N$577)/COUNTIF(Ratings_Long!$A$2:$A$577,$A30)</f>
        <v>0.66666666666666663</v>
      </c>
      <c r="H30" s="6">
        <f>SUMIF(Ratings_Long!$A$2:$A$577,$A30,Ratings_Long!$O$2:$O$577)/COUNTIF(Ratings_Long!$A$2:$A$577,$A30)</f>
        <v>3</v>
      </c>
      <c r="I30" s="6">
        <f>SUMIF(Ratings_Long!$A$2:$A$577,$A30,Ratings_Long!$P$2:$P$577)/COUNTIF(Ratings_Long!$A$2:$A$577,$A30)</f>
        <v>3</v>
      </c>
      <c r="J30" s="6">
        <f>SUMIF(Ratings_Long!$A$2:$A$577,$A30,Ratings_Long!$Q$2:$Q$577)/COUNTIF(Ratings_Long!$A$2:$A$577,$A30)</f>
        <v>0</v>
      </c>
      <c r="K30" s="6">
        <f>SUMIF(Ratings_Long!$A$2:$A$577,$A30,Ratings_Long!$R$2:$R$577)/COUNTIF(Ratings_Long!$A$2:$A$577,$A30)</f>
        <v>2</v>
      </c>
      <c r="L30" s="6">
        <f>SUMIF(Ratings_Long!$A$2:$A$577,$A30,Ratings_Long!$S$2:$S$577)/COUNTIF(Ratings_Long!$A$2:$A$577,$A30)</f>
        <v>2.3333333333333335</v>
      </c>
      <c r="M30" s="6">
        <f t="shared" si="0"/>
        <v>1.6666666666666665</v>
      </c>
      <c r="N30" s="6">
        <f t="shared" si="1"/>
        <v>1.8333333333333333</v>
      </c>
      <c r="O30" s="6">
        <f t="shared" si="2"/>
        <v>-0.55555555555555558</v>
      </c>
    </row>
    <row r="31" spans="1:15">
      <c r="A31" t="s">
        <v>280</v>
      </c>
      <c r="B31" t="s">
        <v>171</v>
      </c>
      <c r="C31" t="s">
        <v>17</v>
      </c>
      <c r="D31" t="s">
        <v>45</v>
      </c>
      <c r="E31" t="s">
        <v>166</v>
      </c>
      <c r="F31" s="6">
        <v>-0.13888900000000001</v>
      </c>
      <c r="G31" s="6">
        <f>SUMIF(Ratings_Long!$A$2:$A$577,$A31,Ratings_Long!$N$2:$N$577)/COUNTIF(Ratings_Long!$A$2:$A$577,$A31)</f>
        <v>0</v>
      </c>
      <c r="H31" s="6">
        <f>SUMIF(Ratings_Long!$A$2:$A$577,$A31,Ratings_Long!$O$2:$O$577)/COUNTIF(Ratings_Long!$A$2:$A$577,$A31)</f>
        <v>3</v>
      </c>
      <c r="I31" s="6">
        <f>SUMIF(Ratings_Long!$A$2:$A$577,$A31,Ratings_Long!$P$2:$P$577)/COUNTIF(Ratings_Long!$A$2:$A$577,$A31)</f>
        <v>3</v>
      </c>
      <c r="J31" s="6">
        <f>SUMIF(Ratings_Long!$A$2:$A$577,$A31,Ratings_Long!$Q$2:$Q$577)/COUNTIF(Ratings_Long!$A$2:$A$577,$A31)</f>
        <v>0</v>
      </c>
      <c r="K31" s="6">
        <f>SUMIF(Ratings_Long!$A$2:$A$577,$A31,Ratings_Long!$R$2:$R$577)/COUNTIF(Ratings_Long!$A$2:$A$577,$A31)</f>
        <v>3</v>
      </c>
      <c r="L31" s="6">
        <f>SUMIF(Ratings_Long!$A$2:$A$577,$A31,Ratings_Long!$S$2:$S$577)/COUNTIF(Ratings_Long!$A$2:$A$577,$A31)</f>
        <v>3</v>
      </c>
      <c r="M31" s="6">
        <f t="shared" si="0"/>
        <v>1.5</v>
      </c>
      <c r="N31" s="6">
        <f t="shared" si="1"/>
        <v>2</v>
      </c>
      <c r="O31" s="6">
        <f t="shared" si="2"/>
        <v>-1</v>
      </c>
    </row>
    <row r="32" spans="1:15">
      <c r="A32" t="s">
        <v>282</v>
      </c>
      <c r="B32" t="s">
        <v>176</v>
      </c>
      <c r="C32" t="s">
        <v>17</v>
      </c>
      <c r="D32" t="s">
        <v>45</v>
      </c>
      <c r="E32" t="s">
        <v>166</v>
      </c>
      <c r="F32" s="6">
        <v>-0.114286</v>
      </c>
      <c r="G32" s="6">
        <f>SUMIF(Ratings_Long!$A$2:$A$577,$A32,Ratings_Long!$N$2:$N$577)/COUNTIF(Ratings_Long!$A$2:$A$577,$A32)</f>
        <v>0</v>
      </c>
      <c r="H32" s="6">
        <f>SUMIF(Ratings_Long!$A$2:$A$577,$A32,Ratings_Long!$O$2:$O$577)/COUNTIF(Ratings_Long!$A$2:$A$577,$A32)</f>
        <v>3</v>
      </c>
      <c r="I32" s="6">
        <f>SUMIF(Ratings_Long!$A$2:$A$577,$A32,Ratings_Long!$P$2:$P$577)/COUNTIF(Ratings_Long!$A$2:$A$577,$A32)</f>
        <v>3</v>
      </c>
      <c r="J32" s="6">
        <f>SUMIF(Ratings_Long!$A$2:$A$577,$A32,Ratings_Long!$Q$2:$Q$577)/COUNTIF(Ratings_Long!$A$2:$A$577,$A32)</f>
        <v>0</v>
      </c>
      <c r="K32" s="6">
        <f>SUMIF(Ratings_Long!$A$2:$A$577,$A32,Ratings_Long!$R$2:$R$577)/COUNTIF(Ratings_Long!$A$2:$A$577,$A32)</f>
        <v>1.6666666666666667</v>
      </c>
      <c r="L32" s="6">
        <f>SUMIF(Ratings_Long!$A$2:$A$577,$A32,Ratings_Long!$S$2:$S$577)/COUNTIF(Ratings_Long!$A$2:$A$577,$A32)</f>
        <v>2.3333333333333335</v>
      </c>
      <c r="M32" s="6">
        <f t="shared" si="0"/>
        <v>1.5</v>
      </c>
      <c r="N32" s="6">
        <f t="shared" si="1"/>
        <v>1.6666666666666667</v>
      </c>
      <c r="O32" s="6">
        <f t="shared" si="2"/>
        <v>-1</v>
      </c>
    </row>
    <row r="33" spans="1:15">
      <c r="A33" t="s">
        <v>284</v>
      </c>
      <c r="B33" t="s">
        <v>181</v>
      </c>
      <c r="C33" t="s">
        <v>17</v>
      </c>
      <c r="D33" t="s">
        <v>45</v>
      </c>
      <c r="E33" t="s">
        <v>166</v>
      </c>
      <c r="F33" s="6">
        <v>-0.15151500000000001</v>
      </c>
      <c r="G33" s="6">
        <f>SUMIF(Ratings_Long!$A$2:$A$577,$A33,Ratings_Long!$N$2:$N$577)/COUNTIF(Ratings_Long!$A$2:$A$577,$A33)</f>
        <v>0.33333333333333331</v>
      </c>
      <c r="H33" s="6">
        <f>SUMIF(Ratings_Long!$A$2:$A$577,$A33,Ratings_Long!$O$2:$O$577)/COUNTIF(Ratings_Long!$A$2:$A$577,$A33)</f>
        <v>3</v>
      </c>
      <c r="I33" s="6">
        <f>SUMIF(Ratings_Long!$A$2:$A$577,$A33,Ratings_Long!$P$2:$P$577)/COUNTIF(Ratings_Long!$A$2:$A$577,$A33)</f>
        <v>3</v>
      </c>
      <c r="J33" s="6">
        <f>SUMIF(Ratings_Long!$A$2:$A$577,$A33,Ratings_Long!$Q$2:$Q$577)/COUNTIF(Ratings_Long!$A$2:$A$577,$A33)</f>
        <v>0</v>
      </c>
      <c r="K33" s="6">
        <f>SUMIF(Ratings_Long!$A$2:$A$577,$A33,Ratings_Long!$R$2:$R$577)/COUNTIF(Ratings_Long!$A$2:$A$577,$A33)</f>
        <v>2</v>
      </c>
      <c r="L33" s="6">
        <f>SUMIF(Ratings_Long!$A$2:$A$577,$A33,Ratings_Long!$S$2:$S$577)/COUNTIF(Ratings_Long!$A$2:$A$577,$A33)</f>
        <v>3</v>
      </c>
      <c r="M33" s="6">
        <f t="shared" si="0"/>
        <v>1.5833333333333335</v>
      </c>
      <c r="N33" s="6">
        <f t="shared" si="1"/>
        <v>1.8888888888888891</v>
      </c>
      <c r="O33" s="6">
        <f t="shared" si="2"/>
        <v>-0.77777777777777779</v>
      </c>
    </row>
    <row r="34" spans="1:15">
      <c r="A34" t="s">
        <v>286</v>
      </c>
      <c r="B34" t="s">
        <v>186</v>
      </c>
      <c r="C34" t="s">
        <v>17</v>
      </c>
      <c r="D34" t="s">
        <v>45</v>
      </c>
      <c r="E34" t="s">
        <v>187</v>
      </c>
      <c r="F34" s="6">
        <v>-0.12820500000000001</v>
      </c>
      <c r="G34" s="6">
        <f>SUMIF(Ratings_Long!$A$2:$A$577,$A34,Ratings_Long!$N$2:$N$577)/COUNTIF(Ratings_Long!$A$2:$A$577,$A34)</f>
        <v>0</v>
      </c>
      <c r="H34" s="6">
        <f>SUMIF(Ratings_Long!$A$2:$A$577,$A34,Ratings_Long!$O$2:$O$577)/COUNTIF(Ratings_Long!$A$2:$A$577,$A34)</f>
        <v>1.6666666666666667</v>
      </c>
      <c r="I34" s="6">
        <f>SUMIF(Ratings_Long!$A$2:$A$577,$A34,Ratings_Long!$P$2:$P$577)/COUNTIF(Ratings_Long!$A$2:$A$577,$A34)</f>
        <v>3</v>
      </c>
      <c r="J34" s="6">
        <f>SUMIF(Ratings_Long!$A$2:$A$577,$A34,Ratings_Long!$Q$2:$Q$577)/COUNTIF(Ratings_Long!$A$2:$A$577,$A34)</f>
        <v>0</v>
      </c>
      <c r="K34" s="6">
        <f>SUMIF(Ratings_Long!$A$2:$A$577,$A34,Ratings_Long!$R$2:$R$577)/COUNTIF(Ratings_Long!$A$2:$A$577,$A34)</f>
        <v>2</v>
      </c>
      <c r="L34" s="6">
        <f>SUMIF(Ratings_Long!$A$2:$A$577,$A34,Ratings_Long!$S$2:$S$577)/COUNTIF(Ratings_Long!$A$2:$A$577,$A34)</f>
        <v>2</v>
      </c>
      <c r="M34" s="6">
        <f t="shared" ref="M34:M65" si="3">AVERAGE(G34:J34)</f>
        <v>1.1666666666666667</v>
      </c>
      <c r="N34" s="6">
        <f t="shared" ref="N34:N65" si="4">AVERAGE(G34:L34)</f>
        <v>1.4444444444444446</v>
      </c>
      <c r="O34" s="6">
        <f t="shared" ref="O34:O65" si="5">(G34/3)*2-1</f>
        <v>-1</v>
      </c>
    </row>
    <row r="35" spans="1:15">
      <c r="A35" t="s">
        <v>288</v>
      </c>
      <c r="B35" t="s">
        <v>192</v>
      </c>
      <c r="C35" t="s">
        <v>17</v>
      </c>
      <c r="D35" t="s">
        <v>45</v>
      </c>
      <c r="E35" t="s">
        <v>187</v>
      </c>
      <c r="F35" s="6">
        <v>-0.16128999999999999</v>
      </c>
      <c r="G35" s="6">
        <f>SUMIF(Ratings_Long!$A$2:$A$577,$A35,Ratings_Long!$N$2:$N$577)/COUNTIF(Ratings_Long!$A$2:$A$577,$A35)</f>
        <v>0.66666666666666663</v>
      </c>
      <c r="H35" s="6">
        <f>SUMIF(Ratings_Long!$A$2:$A$577,$A35,Ratings_Long!$O$2:$O$577)/COUNTIF(Ratings_Long!$A$2:$A$577,$A35)</f>
        <v>2</v>
      </c>
      <c r="I35" s="6">
        <f>SUMIF(Ratings_Long!$A$2:$A$577,$A35,Ratings_Long!$P$2:$P$577)/COUNTIF(Ratings_Long!$A$2:$A$577,$A35)</f>
        <v>3</v>
      </c>
      <c r="J35" s="6">
        <f>SUMIF(Ratings_Long!$A$2:$A$577,$A35,Ratings_Long!$Q$2:$Q$577)/COUNTIF(Ratings_Long!$A$2:$A$577,$A35)</f>
        <v>0</v>
      </c>
      <c r="K35" s="6">
        <f>SUMIF(Ratings_Long!$A$2:$A$577,$A35,Ratings_Long!$R$2:$R$577)/COUNTIF(Ratings_Long!$A$2:$A$577,$A35)</f>
        <v>1.6666666666666667</v>
      </c>
      <c r="L35" s="6">
        <f>SUMIF(Ratings_Long!$A$2:$A$577,$A35,Ratings_Long!$S$2:$S$577)/COUNTIF(Ratings_Long!$A$2:$A$577,$A35)</f>
        <v>2</v>
      </c>
      <c r="M35" s="6">
        <f t="shared" si="3"/>
        <v>1.4166666666666665</v>
      </c>
      <c r="N35" s="6">
        <f t="shared" si="4"/>
        <v>1.5555555555555554</v>
      </c>
      <c r="O35" s="6">
        <f t="shared" si="5"/>
        <v>-0.55555555555555558</v>
      </c>
    </row>
    <row r="36" spans="1:15">
      <c r="A36" t="s">
        <v>290</v>
      </c>
      <c r="B36" t="s">
        <v>197</v>
      </c>
      <c r="C36" t="s">
        <v>17</v>
      </c>
      <c r="D36" t="s">
        <v>45</v>
      </c>
      <c r="E36" t="s">
        <v>187</v>
      </c>
      <c r="F36" s="6">
        <v>-0.131579</v>
      </c>
      <c r="G36" s="6">
        <f>SUMIF(Ratings_Long!$A$2:$A$577,$A36,Ratings_Long!$N$2:$N$577)/COUNTIF(Ratings_Long!$A$2:$A$577,$A36)</f>
        <v>0</v>
      </c>
      <c r="H36" s="6">
        <f>SUMIF(Ratings_Long!$A$2:$A$577,$A36,Ratings_Long!$O$2:$O$577)/COUNTIF(Ratings_Long!$A$2:$A$577,$A36)</f>
        <v>2.3333333333333335</v>
      </c>
      <c r="I36" s="6">
        <f>SUMIF(Ratings_Long!$A$2:$A$577,$A36,Ratings_Long!$P$2:$P$577)/COUNTIF(Ratings_Long!$A$2:$A$577,$A36)</f>
        <v>2.3333333333333335</v>
      </c>
      <c r="J36" s="6">
        <f>SUMIF(Ratings_Long!$A$2:$A$577,$A36,Ratings_Long!$Q$2:$Q$577)/COUNTIF(Ratings_Long!$A$2:$A$577,$A36)</f>
        <v>0</v>
      </c>
      <c r="K36" s="6">
        <f>SUMIF(Ratings_Long!$A$2:$A$577,$A36,Ratings_Long!$R$2:$R$577)/COUNTIF(Ratings_Long!$A$2:$A$577,$A36)</f>
        <v>2</v>
      </c>
      <c r="L36" s="6">
        <f>SUMIF(Ratings_Long!$A$2:$A$577,$A36,Ratings_Long!$S$2:$S$577)/COUNTIF(Ratings_Long!$A$2:$A$577,$A36)</f>
        <v>2.6666666666666665</v>
      </c>
      <c r="M36" s="6">
        <f t="shared" si="3"/>
        <v>1.1666666666666667</v>
      </c>
      <c r="N36" s="6">
        <f t="shared" si="4"/>
        <v>1.5555555555555556</v>
      </c>
      <c r="O36" s="6">
        <f t="shared" si="5"/>
        <v>-1</v>
      </c>
    </row>
    <row r="37" spans="1:15">
      <c r="A37" t="s">
        <v>292</v>
      </c>
      <c r="B37" t="s">
        <v>202</v>
      </c>
      <c r="C37" t="s">
        <v>17</v>
      </c>
      <c r="D37" t="s">
        <v>45</v>
      </c>
      <c r="E37" t="s">
        <v>187</v>
      </c>
      <c r="F37" s="6">
        <v>-0.13888900000000001</v>
      </c>
      <c r="G37" s="6">
        <f>SUMIF(Ratings_Long!$A$2:$A$577,$A37,Ratings_Long!$N$2:$N$577)/COUNTIF(Ratings_Long!$A$2:$A$577,$A37)</f>
        <v>0.66666666666666663</v>
      </c>
      <c r="H37" s="6">
        <f>SUMIF(Ratings_Long!$A$2:$A$577,$A37,Ratings_Long!$O$2:$O$577)/COUNTIF(Ratings_Long!$A$2:$A$577,$A37)</f>
        <v>3</v>
      </c>
      <c r="I37" s="6">
        <f>SUMIF(Ratings_Long!$A$2:$A$577,$A37,Ratings_Long!$P$2:$P$577)/COUNTIF(Ratings_Long!$A$2:$A$577,$A37)</f>
        <v>2.6666666666666665</v>
      </c>
      <c r="J37" s="6">
        <f>SUMIF(Ratings_Long!$A$2:$A$577,$A37,Ratings_Long!$Q$2:$Q$577)/COUNTIF(Ratings_Long!$A$2:$A$577,$A37)</f>
        <v>1</v>
      </c>
      <c r="K37" s="6">
        <f>SUMIF(Ratings_Long!$A$2:$A$577,$A37,Ratings_Long!$R$2:$R$577)/COUNTIF(Ratings_Long!$A$2:$A$577,$A37)</f>
        <v>2.3333333333333335</v>
      </c>
      <c r="L37" s="6">
        <f>SUMIF(Ratings_Long!$A$2:$A$577,$A37,Ratings_Long!$S$2:$S$577)/COUNTIF(Ratings_Long!$A$2:$A$577,$A37)</f>
        <v>3</v>
      </c>
      <c r="M37" s="6">
        <f t="shared" si="3"/>
        <v>1.8333333333333333</v>
      </c>
      <c r="N37" s="6">
        <f t="shared" si="4"/>
        <v>2.1111111111111112</v>
      </c>
      <c r="O37" s="6">
        <f t="shared" si="5"/>
        <v>-0.55555555555555558</v>
      </c>
    </row>
    <row r="38" spans="1:15">
      <c r="A38" t="s">
        <v>294</v>
      </c>
      <c r="B38" t="s">
        <v>207</v>
      </c>
      <c r="C38" t="s">
        <v>17</v>
      </c>
      <c r="D38" t="s">
        <v>45</v>
      </c>
      <c r="E38" t="s">
        <v>208</v>
      </c>
      <c r="F38" s="6">
        <v>-0.13513500000000001</v>
      </c>
      <c r="G38" s="6">
        <f>SUMIF(Ratings_Long!$A$2:$A$577,$A38,Ratings_Long!$N$2:$N$577)/COUNTIF(Ratings_Long!$A$2:$A$577,$A38)</f>
        <v>0</v>
      </c>
      <c r="H38" s="6">
        <f>SUMIF(Ratings_Long!$A$2:$A$577,$A38,Ratings_Long!$O$2:$O$577)/COUNTIF(Ratings_Long!$A$2:$A$577,$A38)</f>
        <v>1.3333333333333333</v>
      </c>
      <c r="I38" s="6">
        <f>SUMIF(Ratings_Long!$A$2:$A$577,$A38,Ratings_Long!$P$2:$P$577)/COUNTIF(Ratings_Long!$A$2:$A$577,$A38)</f>
        <v>2.6666666666666665</v>
      </c>
      <c r="J38" s="6">
        <f>SUMIF(Ratings_Long!$A$2:$A$577,$A38,Ratings_Long!$Q$2:$Q$577)/COUNTIF(Ratings_Long!$A$2:$A$577,$A38)</f>
        <v>0</v>
      </c>
      <c r="K38" s="6">
        <f>SUMIF(Ratings_Long!$A$2:$A$577,$A38,Ratings_Long!$R$2:$R$577)/COUNTIF(Ratings_Long!$A$2:$A$577,$A38)</f>
        <v>1.6666666666666667</v>
      </c>
      <c r="L38" s="6">
        <f>SUMIF(Ratings_Long!$A$2:$A$577,$A38,Ratings_Long!$S$2:$S$577)/COUNTIF(Ratings_Long!$A$2:$A$577,$A38)</f>
        <v>1.6666666666666667</v>
      </c>
      <c r="M38" s="6">
        <f t="shared" si="3"/>
        <v>1</v>
      </c>
      <c r="N38" s="6">
        <f t="shared" si="4"/>
        <v>1.2222222222222223</v>
      </c>
      <c r="O38" s="6">
        <f t="shared" si="5"/>
        <v>-1</v>
      </c>
    </row>
    <row r="39" spans="1:15">
      <c r="A39" t="s">
        <v>296</v>
      </c>
      <c r="B39" t="s">
        <v>213</v>
      </c>
      <c r="C39" t="s">
        <v>17</v>
      </c>
      <c r="D39" t="s">
        <v>45</v>
      </c>
      <c r="E39" t="s">
        <v>208</v>
      </c>
      <c r="F39" s="6">
        <v>-0.147059</v>
      </c>
      <c r="G39" s="6">
        <f>SUMIF(Ratings_Long!$A$2:$A$577,$A39,Ratings_Long!$N$2:$N$577)/COUNTIF(Ratings_Long!$A$2:$A$577,$A39)</f>
        <v>0.33333333333333331</v>
      </c>
      <c r="H39" s="6">
        <f>SUMIF(Ratings_Long!$A$2:$A$577,$A39,Ratings_Long!$O$2:$O$577)/COUNTIF(Ratings_Long!$A$2:$A$577,$A39)</f>
        <v>3</v>
      </c>
      <c r="I39" s="6">
        <f>SUMIF(Ratings_Long!$A$2:$A$577,$A39,Ratings_Long!$P$2:$P$577)/COUNTIF(Ratings_Long!$A$2:$A$577,$A39)</f>
        <v>2</v>
      </c>
      <c r="J39" s="6">
        <f>SUMIF(Ratings_Long!$A$2:$A$577,$A39,Ratings_Long!$Q$2:$Q$577)/COUNTIF(Ratings_Long!$A$2:$A$577,$A39)</f>
        <v>0</v>
      </c>
      <c r="K39" s="6">
        <f>SUMIF(Ratings_Long!$A$2:$A$577,$A39,Ratings_Long!$R$2:$R$577)/COUNTIF(Ratings_Long!$A$2:$A$577,$A39)</f>
        <v>1</v>
      </c>
      <c r="L39" s="6">
        <f>SUMIF(Ratings_Long!$A$2:$A$577,$A39,Ratings_Long!$S$2:$S$577)/COUNTIF(Ratings_Long!$A$2:$A$577,$A39)</f>
        <v>2</v>
      </c>
      <c r="M39" s="6">
        <f t="shared" si="3"/>
        <v>1.3333333333333335</v>
      </c>
      <c r="N39" s="6">
        <f t="shared" si="4"/>
        <v>1.3888888888888891</v>
      </c>
      <c r="O39" s="6">
        <f t="shared" si="5"/>
        <v>-0.77777777777777779</v>
      </c>
    </row>
    <row r="40" spans="1:15">
      <c r="A40" t="s">
        <v>298</v>
      </c>
      <c r="B40" t="s">
        <v>218</v>
      </c>
      <c r="C40" t="s">
        <v>17</v>
      </c>
      <c r="D40" t="s">
        <v>45</v>
      </c>
      <c r="E40" t="s">
        <v>208</v>
      </c>
      <c r="F40" s="6">
        <v>-0.147059</v>
      </c>
      <c r="G40" s="6">
        <f>SUMIF(Ratings_Long!$A$2:$A$577,$A40,Ratings_Long!$N$2:$N$577)/COUNTIF(Ratings_Long!$A$2:$A$577,$A40)</f>
        <v>0</v>
      </c>
      <c r="H40" s="6">
        <f>SUMIF(Ratings_Long!$A$2:$A$577,$A40,Ratings_Long!$O$2:$O$577)/COUNTIF(Ratings_Long!$A$2:$A$577,$A40)</f>
        <v>2.6666666666666665</v>
      </c>
      <c r="I40" s="6">
        <f>SUMIF(Ratings_Long!$A$2:$A$577,$A40,Ratings_Long!$P$2:$P$577)/COUNTIF(Ratings_Long!$A$2:$A$577,$A40)</f>
        <v>2</v>
      </c>
      <c r="J40" s="6">
        <f>SUMIF(Ratings_Long!$A$2:$A$577,$A40,Ratings_Long!$Q$2:$Q$577)/COUNTIF(Ratings_Long!$A$2:$A$577,$A40)</f>
        <v>0</v>
      </c>
      <c r="K40" s="6">
        <f>SUMIF(Ratings_Long!$A$2:$A$577,$A40,Ratings_Long!$R$2:$R$577)/COUNTIF(Ratings_Long!$A$2:$A$577,$A40)</f>
        <v>1</v>
      </c>
      <c r="L40" s="6">
        <f>SUMIF(Ratings_Long!$A$2:$A$577,$A40,Ratings_Long!$S$2:$S$577)/COUNTIF(Ratings_Long!$A$2:$A$577,$A40)</f>
        <v>1.6666666666666667</v>
      </c>
      <c r="M40" s="6">
        <f t="shared" si="3"/>
        <v>1.1666666666666665</v>
      </c>
      <c r="N40" s="6">
        <f t="shared" si="4"/>
        <v>1.2222222222222221</v>
      </c>
      <c r="O40" s="6">
        <f t="shared" si="5"/>
        <v>-1</v>
      </c>
    </row>
    <row r="41" spans="1:15">
      <c r="A41" t="s">
        <v>300</v>
      </c>
      <c r="B41" t="s">
        <v>223</v>
      </c>
      <c r="C41" t="s">
        <v>17</v>
      </c>
      <c r="D41" t="s">
        <v>45</v>
      </c>
      <c r="E41" t="s">
        <v>208</v>
      </c>
      <c r="F41" s="6">
        <v>-0.13888900000000001</v>
      </c>
      <c r="G41" s="6">
        <f>SUMIF(Ratings_Long!$A$2:$A$577,$A41,Ratings_Long!$N$2:$N$577)/COUNTIF(Ratings_Long!$A$2:$A$577,$A41)</f>
        <v>0.33333333333333331</v>
      </c>
      <c r="H41" s="6">
        <f>SUMIF(Ratings_Long!$A$2:$A$577,$A41,Ratings_Long!$O$2:$O$577)/COUNTIF(Ratings_Long!$A$2:$A$577,$A41)</f>
        <v>3</v>
      </c>
      <c r="I41" s="6">
        <f>SUMIF(Ratings_Long!$A$2:$A$577,$A41,Ratings_Long!$P$2:$P$577)/COUNTIF(Ratings_Long!$A$2:$A$577,$A41)</f>
        <v>3</v>
      </c>
      <c r="J41" s="6">
        <f>SUMIF(Ratings_Long!$A$2:$A$577,$A41,Ratings_Long!$Q$2:$Q$577)/COUNTIF(Ratings_Long!$A$2:$A$577,$A41)</f>
        <v>0.33333333333333331</v>
      </c>
      <c r="K41" s="6">
        <f>SUMIF(Ratings_Long!$A$2:$A$577,$A41,Ratings_Long!$R$2:$R$577)/COUNTIF(Ratings_Long!$A$2:$A$577,$A41)</f>
        <v>2</v>
      </c>
      <c r="L41" s="6">
        <f>SUMIF(Ratings_Long!$A$2:$A$577,$A41,Ratings_Long!$S$2:$S$577)/COUNTIF(Ratings_Long!$A$2:$A$577,$A41)</f>
        <v>3</v>
      </c>
      <c r="M41" s="6">
        <f t="shared" si="3"/>
        <v>1.6666666666666667</v>
      </c>
      <c r="N41" s="6">
        <f t="shared" si="4"/>
        <v>1.9444444444444446</v>
      </c>
      <c r="O41" s="6">
        <f t="shared" si="5"/>
        <v>-0.77777777777777779</v>
      </c>
    </row>
    <row r="42" spans="1:15">
      <c r="A42" t="s">
        <v>302</v>
      </c>
      <c r="B42" t="s">
        <v>228</v>
      </c>
      <c r="C42" t="s">
        <v>17</v>
      </c>
      <c r="D42" t="s">
        <v>45</v>
      </c>
      <c r="E42" t="s">
        <v>229</v>
      </c>
      <c r="F42" s="6">
        <v>-0.15151500000000001</v>
      </c>
      <c r="G42" s="6">
        <f>SUMIF(Ratings_Long!$A$2:$A$577,$A42,Ratings_Long!$N$2:$N$577)/COUNTIF(Ratings_Long!$A$2:$A$577,$A42)</f>
        <v>0</v>
      </c>
      <c r="H42" s="6">
        <f>SUMIF(Ratings_Long!$A$2:$A$577,$A42,Ratings_Long!$O$2:$O$577)/COUNTIF(Ratings_Long!$A$2:$A$577,$A42)</f>
        <v>2</v>
      </c>
      <c r="I42" s="6">
        <f>SUMIF(Ratings_Long!$A$2:$A$577,$A42,Ratings_Long!$P$2:$P$577)/COUNTIF(Ratings_Long!$A$2:$A$577,$A42)</f>
        <v>3</v>
      </c>
      <c r="J42" s="6">
        <f>SUMIF(Ratings_Long!$A$2:$A$577,$A42,Ratings_Long!$Q$2:$Q$577)/COUNTIF(Ratings_Long!$A$2:$A$577,$A42)</f>
        <v>0.33333333333333331</v>
      </c>
      <c r="K42" s="6">
        <f>SUMIF(Ratings_Long!$A$2:$A$577,$A42,Ratings_Long!$R$2:$R$577)/COUNTIF(Ratings_Long!$A$2:$A$577,$A42)</f>
        <v>2</v>
      </c>
      <c r="L42" s="6">
        <f>SUMIF(Ratings_Long!$A$2:$A$577,$A42,Ratings_Long!$S$2:$S$577)/COUNTIF(Ratings_Long!$A$2:$A$577,$A42)</f>
        <v>1.6666666666666667</v>
      </c>
      <c r="M42" s="6">
        <f t="shared" si="3"/>
        <v>1.3333333333333333</v>
      </c>
      <c r="N42" s="6">
        <f t="shared" si="4"/>
        <v>1.5</v>
      </c>
      <c r="O42" s="6">
        <f t="shared" si="5"/>
        <v>-1</v>
      </c>
    </row>
    <row r="43" spans="1:15">
      <c r="A43" t="s">
        <v>304</v>
      </c>
      <c r="B43" t="s">
        <v>234</v>
      </c>
      <c r="C43" t="s">
        <v>17</v>
      </c>
      <c r="D43" t="s">
        <v>45</v>
      </c>
      <c r="E43" t="s">
        <v>229</v>
      </c>
      <c r="F43" s="6">
        <v>-0.12820500000000001</v>
      </c>
      <c r="G43" s="6">
        <f>SUMIF(Ratings_Long!$A$2:$A$577,$A43,Ratings_Long!$N$2:$N$577)/COUNTIF(Ratings_Long!$A$2:$A$577,$A43)</f>
        <v>0</v>
      </c>
      <c r="H43" s="6">
        <f>SUMIF(Ratings_Long!$A$2:$A$577,$A43,Ratings_Long!$O$2:$O$577)/COUNTIF(Ratings_Long!$A$2:$A$577,$A43)</f>
        <v>3</v>
      </c>
      <c r="I43" s="6">
        <f>SUMIF(Ratings_Long!$A$2:$A$577,$A43,Ratings_Long!$P$2:$P$577)/COUNTIF(Ratings_Long!$A$2:$A$577,$A43)</f>
        <v>2.6666666666666665</v>
      </c>
      <c r="J43" s="6">
        <f>SUMIF(Ratings_Long!$A$2:$A$577,$A43,Ratings_Long!$Q$2:$Q$577)/COUNTIF(Ratings_Long!$A$2:$A$577,$A43)</f>
        <v>0.33333333333333331</v>
      </c>
      <c r="K43" s="6">
        <f>SUMIF(Ratings_Long!$A$2:$A$577,$A43,Ratings_Long!$R$2:$R$577)/COUNTIF(Ratings_Long!$A$2:$A$577,$A43)</f>
        <v>2</v>
      </c>
      <c r="L43" s="6">
        <f>SUMIF(Ratings_Long!$A$2:$A$577,$A43,Ratings_Long!$S$2:$S$577)/COUNTIF(Ratings_Long!$A$2:$A$577,$A43)</f>
        <v>3</v>
      </c>
      <c r="M43" s="6">
        <f t="shared" si="3"/>
        <v>1.4999999999999998</v>
      </c>
      <c r="N43" s="6">
        <f t="shared" si="4"/>
        <v>1.8333333333333333</v>
      </c>
      <c r="O43" s="6">
        <f t="shared" si="5"/>
        <v>-1</v>
      </c>
    </row>
    <row r="44" spans="1:15">
      <c r="A44" t="s">
        <v>306</v>
      </c>
      <c r="B44" t="s">
        <v>239</v>
      </c>
      <c r="C44" t="s">
        <v>17</v>
      </c>
      <c r="D44" t="s">
        <v>45</v>
      </c>
      <c r="E44" t="s">
        <v>229</v>
      </c>
      <c r="F44" s="6">
        <v>-0.13888900000000001</v>
      </c>
      <c r="G44" s="6">
        <f>SUMIF(Ratings_Long!$A$2:$A$577,$A44,Ratings_Long!$N$2:$N$577)/COUNTIF(Ratings_Long!$A$2:$A$577,$A44)</f>
        <v>0.33333333333333331</v>
      </c>
      <c r="H44" s="6">
        <f>SUMIF(Ratings_Long!$A$2:$A$577,$A44,Ratings_Long!$O$2:$O$577)/COUNTIF(Ratings_Long!$A$2:$A$577,$A44)</f>
        <v>2</v>
      </c>
      <c r="I44" s="6">
        <f>SUMIF(Ratings_Long!$A$2:$A$577,$A44,Ratings_Long!$P$2:$P$577)/COUNTIF(Ratings_Long!$A$2:$A$577,$A44)</f>
        <v>2.6666666666666665</v>
      </c>
      <c r="J44" s="6">
        <f>SUMIF(Ratings_Long!$A$2:$A$577,$A44,Ratings_Long!$Q$2:$Q$577)/COUNTIF(Ratings_Long!$A$2:$A$577,$A44)</f>
        <v>0.33333333333333331</v>
      </c>
      <c r="K44" s="6">
        <f>SUMIF(Ratings_Long!$A$2:$A$577,$A44,Ratings_Long!$R$2:$R$577)/COUNTIF(Ratings_Long!$A$2:$A$577,$A44)</f>
        <v>1.6666666666666667</v>
      </c>
      <c r="L44" s="6">
        <f>SUMIF(Ratings_Long!$A$2:$A$577,$A44,Ratings_Long!$S$2:$S$577)/COUNTIF(Ratings_Long!$A$2:$A$577,$A44)</f>
        <v>2</v>
      </c>
      <c r="M44" s="6">
        <f t="shared" si="3"/>
        <v>1.3333333333333333</v>
      </c>
      <c r="N44" s="6">
        <f t="shared" si="4"/>
        <v>1.5</v>
      </c>
      <c r="O44" s="6">
        <f t="shared" si="5"/>
        <v>-0.77777777777777779</v>
      </c>
    </row>
    <row r="45" spans="1:15">
      <c r="A45" t="s">
        <v>308</v>
      </c>
      <c r="B45" t="s">
        <v>244</v>
      </c>
      <c r="C45" t="s">
        <v>17</v>
      </c>
      <c r="D45" t="s">
        <v>45</v>
      </c>
      <c r="E45" t="s">
        <v>229</v>
      </c>
      <c r="F45" s="6">
        <v>-0.147059</v>
      </c>
      <c r="G45" s="6">
        <f>SUMIF(Ratings_Long!$A$2:$A$577,$A45,Ratings_Long!$N$2:$N$577)/COUNTIF(Ratings_Long!$A$2:$A$577,$A45)</f>
        <v>0.33333333333333331</v>
      </c>
      <c r="H45" s="6">
        <f>SUMIF(Ratings_Long!$A$2:$A$577,$A45,Ratings_Long!$O$2:$O$577)/COUNTIF(Ratings_Long!$A$2:$A$577,$A45)</f>
        <v>3</v>
      </c>
      <c r="I45" s="6">
        <f>SUMIF(Ratings_Long!$A$2:$A$577,$A45,Ratings_Long!$P$2:$P$577)/COUNTIF(Ratings_Long!$A$2:$A$577,$A45)</f>
        <v>3</v>
      </c>
      <c r="J45" s="6">
        <f>SUMIF(Ratings_Long!$A$2:$A$577,$A45,Ratings_Long!$Q$2:$Q$577)/COUNTIF(Ratings_Long!$A$2:$A$577,$A45)</f>
        <v>0</v>
      </c>
      <c r="K45" s="6">
        <f>SUMIF(Ratings_Long!$A$2:$A$577,$A45,Ratings_Long!$R$2:$R$577)/COUNTIF(Ratings_Long!$A$2:$A$577,$A45)</f>
        <v>3</v>
      </c>
      <c r="L45" s="6">
        <f>SUMIF(Ratings_Long!$A$2:$A$577,$A45,Ratings_Long!$S$2:$S$577)/COUNTIF(Ratings_Long!$A$2:$A$577,$A45)</f>
        <v>2</v>
      </c>
      <c r="M45" s="6">
        <f t="shared" si="3"/>
        <v>1.5833333333333335</v>
      </c>
      <c r="N45" s="6">
        <f t="shared" si="4"/>
        <v>1.8888888888888891</v>
      </c>
      <c r="O45" s="6">
        <f t="shared" si="5"/>
        <v>-0.77777777777777779</v>
      </c>
    </row>
    <row r="46" spans="1:15">
      <c r="A46" t="s">
        <v>310</v>
      </c>
      <c r="B46" t="s">
        <v>249</v>
      </c>
      <c r="C46" t="s">
        <v>17</v>
      </c>
      <c r="D46" t="s">
        <v>45</v>
      </c>
      <c r="E46" t="s">
        <v>250</v>
      </c>
      <c r="F46" s="6">
        <v>-0.15625</v>
      </c>
      <c r="G46" s="6">
        <f>SUMIF(Ratings_Long!$A$2:$A$577,$A46,Ratings_Long!$N$2:$N$577)/COUNTIF(Ratings_Long!$A$2:$A$577,$A46)</f>
        <v>0</v>
      </c>
      <c r="H46" s="6">
        <f>SUMIF(Ratings_Long!$A$2:$A$577,$A46,Ratings_Long!$O$2:$O$577)/COUNTIF(Ratings_Long!$A$2:$A$577,$A46)</f>
        <v>2.3333333333333335</v>
      </c>
      <c r="I46" s="6">
        <f>SUMIF(Ratings_Long!$A$2:$A$577,$A46,Ratings_Long!$P$2:$P$577)/COUNTIF(Ratings_Long!$A$2:$A$577,$A46)</f>
        <v>3</v>
      </c>
      <c r="J46" s="6">
        <f>SUMIF(Ratings_Long!$A$2:$A$577,$A46,Ratings_Long!$Q$2:$Q$577)/COUNTIF(Ratings_Long!$A$2:$A$577,$A46)</f>
        <v>0</v>
      </c>
      <c r="K46" s="6">
        <f>SUMIF(Ratings_Long!$A$2:$A$577,$A46,Ratings_Long!$R$2:$R$577)/COUNTIF(Ratings_Long!$A$2:$A$577,$A46)</f>
        <v>2</v>
      </c>
      <c r="L46" s="6">
        <f>SUMIF(Ratings_Long!$A$2:$A$577,$A46,Ratings_Long!$S$2:$S$577)/COUNTIF(Ratings_Long!$A$2:$A$577,$A46)</f>
        <v>2</v>
      </c>
      <c r="M46" s="6">
        <f t="shared" si="3"/>
        <v>1.3333333333333335</v>
      </c>
      <c r="N46" s="6">
        <f t="shared" si="4"/>
        <v>1.5555555555555556</v>
      </c>
      <c r="O46" s="6">
        <f t="shared" si="5"/>
        <v>-1</v>
      </c>
    </row>
    <row r="47" spans="1:15">
      <c r="A47" t="s">
        <v>312</v>
      </c>
      <c r="B47" t="s">
        <v>255</v>
      </c>
      <c r="C47" t="s">
        <v>17</v>
      </c>
      <c r="D47" t="s">
        <v>45</v>
      </c>
      <c r="E47" t="s">
        <v>250</v>
      </c>
      <c r="F47" s="6">
        <v>-0.13513500000000001</v>
      </c>
      <c r="G47" s="6">
        <f>SUMIF(Ratings_Long!$A$2:$A$577,$A47,Ratings_Long!$N$2:$N$577)/COUNTIF(Ratings_Long!$A$2:$A$577,$A47)</f>
        <v>0</v>
      </c>
      <c r="H47" s="6">
        <f>SUMIF(Ratings_Long!$A$2:$A$577,$A47,Ratings_Long!$O$2:$O$577)/COUNTIF(Ratings_Long!$A$2:$A$577,$A47)</f>
        <v>2.3333333333333335</v>
      </c>
      <c r="I47" s="6">
        <f>SUMIF(Ratings_Long!$A$2:$A$577,$A47,Ratings_Long!$P$2:$P$577)/COUNTIF(Ratings_Long!$A$2:$A$577,$A47)</f>
        <v>3</v>
      </c>
      <c r="J47" s="6">
        <f>SUMIF(Ratings_Long!$A$2:$A$577,$A47,Ratings_Long!$Q$2:$Q$577)/COUNTIF(Ratings_Long!$A$2:$A$577,$A47)</f>
        <v>0</v>
      </c>
      <c r="K47" s="6">
        <f>SUMIF(Ratings_Long!$A$2:$A$577,$A47,Ratings_Long!$R$2:$R$577)/COUNTIF(Ratings_Long!$A$2:$A$577,$A47)</f>
        <v>2</v>
      </c>
      <c r="L47" s="6">
        <f>SUMIF(Ratings_Long!$A$2:$A$577,$A47,Ratings_Long!$S$2:$S$577)/COUNTIF(Ratings_Long!$A$2:$A$577,$A47)</f>
        <v>2</v>
      </c>
      <c r="M47" s="6">
        <f t="shared" si="3"/>
        <v>1.3333333333333335</v>
      </c>
      <c r="N47" s="6">
        <f t="shared" si="4"/>
        <v>1.5555555555555556</v>
      </c>
      <c r="O47" s="6">
        <f t="shared" si="5"/>
        <v>-1</v>
      </c>
    </row>
    <row r="48" spans="1:15">
      <c r="A48" t="s">
        <v>314</v>
      </c>
      <c r="B48" t="s">
        <v>260</v>
      </c>
      <c r="C48" t="s">
        <v>17</v>
      </c>
      <c r="D48" t="s">
        <v>45</v>
      </c>
      <c r="E48" t="s">
        <v>250</v>
      </c>
      <c r="F48" s="6">
        <v>-0.15625</v>
      </c>
      <c r="G48" s="6">
        <f>SUMIF(Ratings_Long!$A$2:$A$577,$A48,Ratings_Long!$N$2:$N$577)/COUNTIF(Ratings_Long!$A$2:$A$577,$A48)</f>
        <v>0</v>
      </c>
      <c r="H48" s="6">
        <f>SUMIF(Ratings_Long!$A$2:$A$577,$A48,Ratings_Long!$O$2:$O$577)/COUNTIF(Ratings_Long!$A$2:$A$577,$A48)</f>
        <v>2</v>
      </c>
      <c r="I48" s="6">
        <f>SUMIF(Ratings_Long!$A$2:$A$577,$A48,Ratings_Long!$P$2:$P$577)/COUNTIF(Ratings_Long!$A$2:$A$577,$A48)</f>
        <v>3</v>
      </c>
      <c r="J48" s="6">
        <f>SUMIF(Ratings_Long!$A$2:$A$577,$A48,Ratings_Long!$Q$2:$Q$577)/COUNTIF(Ratings_Long!$A$2:$A$577,$A48)</f>
        <v>0.33333333333333331</v>
      </c>
      <c r="K48" s="6">
        <f>SUMIF(Ratings_Long!$A$2:$A$577,$A48,Ratings_Long!$R$2:$R$577)/COUNTIF(Ratings_Long!$A$2:$A$577,$A48)</f>
        <v>1.6666666666666667</v>
      </c>
      <c r="L48" s="6">
        <f>SUMIF(Ratings_Long!$A$2:$A$577,$A48,Ratings_Long!$S$2:$S$577)/COUNTIF(Ratings_Long!$A$2:$A$577,$A48)</f>
        <v>2.6666666666666665</v>
      </c>
      <c r="M48" s="6">
        <f t="shared" si="3"/>
        <v>1.3333333333333333</v>
      </c>
      <c r="N48" s="6">
        <f t="shared" si="4"/>
        <v>1.6111111111111109</v>
      </c>
      <c r="O48" s="6">
        <f t="shared" si="5"/>
        <v>-1</v>
      </c>
    </row>
    <row r="49" spans="1:15">
      <c r="A49" t="s">
        <v>316</v>
      </c>
      <c r="B49" t="s">
        <v>265</v>
      </c>
      <c r="C49" t="s">
        <v>17</v>
      </c>
      <c r="D49" t="s">
        <v>45</v>
      </c>
      <c r="E49" t="s">
        <v>250</v>
      </c>
      <c r="F49" s="6">
        <v>-0.13513500000000001</v>
      </c>
      <c r="G49" s="6">
        <f>SUMIF(Ratings_Long!$A$2:$A$577,$A49,Ratings_Long!$N$2:$N$577)/COUNTIF(Ratings_Long!$A$2:$A$577,$A49)</f>
        <v>0.33333333333333331</v>
      </c>
      <c r="H49" s="6">
        <f>SUMIF(Ratings_Long!$A$2:$A$577,$A49,Ratings_Long!$O$2:$O$577)/COUNTIF(Ratings_Long!$A$2:$A$577,$A49)</f>
        <v>2.6666666666666665</v>
      </c>
      <c r="I49" s="6">
        <f>SUMIF(Ratings_Long!$A$2:$A$577,$A49,Ratings_Long!$P$2:$P$577)/COUNTIF(Ratings_Long!$A$2:$A$577,$A49)</f>
        <v>2</v>
      </c>
      <c r="J49" s="6">
        <f>SUMIF(Ratings_Long!$A$2:$A$577,$A49,Ratings_Long!$Q$2:$Q$577)/COUNTIF(Ratings_Long!$A$2:$A$577,$A49)</f>
        <v>0.33333333333333331</v>
      </c>
      <c r="K49" s="6">
        <f>SUMIF(Ratings_Long!$A$2:$A$577,$A49,Ratings_Long!$R$2:$R$577)/COUNTIF(Ratings_Long!$A$2:$A$577,$A49)</f>
        <v>1</v>
      </c>
      <c r="L49" s="6">
        <f>SUMIF(Ratings_Long!$A$2:$A$577,$A49,Ratings_Long!$S$2:$S$577)/COUNTIF(Ratings_Long!$A$2:$A$577,$A49)</f>
        <v>2</v>
      </c>
      <c r="M49" s="6">
        <f t="shared" si="3"/>
        <v>1.3333333333333333</v>
      </c>
      <c r="N49" s="6">
        <f t="shared" si="4"/>
        <v>1.3888888888888886</v>
      </c>
      <c r="O49" s="6">
        <f t="shared" si="5"/>
        <v>-0.77777777777777779</v>
      </c>
    </row>
    <row r="50" spans="1:15">
      <c r="A50" t="s">
        <v>318</v>
      </c>
      <c r="B50" t="s">
        <v>142</v>
      </c>
      <c r="C50" t="s">
        <v>18</v>
      </c>
      <c r="D50" t="s">
        <v>47</v>
      </c>
      <c r="E50" t="s">
        <v>143</v>
      </c>
      <c r="F50" s="6">
        <v>-0.12820500000000001</v>
      </c>
      <c r="G50" s="6">
        <f>SUMIF(Ratings_Long!$A$2:$A$577,$A50,Ratings_Long!$N$2:$N$577)/COUNTIF(Ratings_Long!$A$2:$A$577,$A50)</f>
        <v>0</v>
      </c>
      <c r="H50" s="6">
        <f>SUMIF(Ratings_Long!$A$2:$A$577,$A50,Ratings_Long!$O$2:$O$577)/COUNTIF(Ratings_Long!$A$2:$A$577,$A50)</f>
        <v>3</v>
      </c>
      <c r="I50" s="6">
        <f>SUMIF(Ratings_Long!$A$2:$A$577,$A50,Ratings_Long!$P$2:$P$577)/COUNTIF(Ratings_Long!$A$2:$A$577,$A50)</f>
        <v>3</v>
      </c>
      <c r="J50" s="6">
        <f>SUMIF(Ratings_Long!$A$2:$A$577,$A50,Ratings_Long!$Q$2:$Q$577)/COUNTIF(Ratings_Long!$A$2:$A$577,$A50)</f>
        <v>0</v>
      </c>
      <c r="K50" s="6">
        <f>SUMIF(Ratings_Long!$A$2:$A$577,$A50,Ratings_Long!$R$2:$R$577)/COUNTIF(Ratings_Long!$A$2:$A$577,$A50)</f>
        <v>2</v>
      </c>
      <c r="L50" s="6">
        <f>SUMIF(Ratings_Long!$A$2:$A$577,$A50,Ratings_Long!$S$2:$S$577)/COUNTIF(Ratings_Long!$A$2:$A$577,$A50)</f>
        <v>2.3333333333333335</v>
      </c>
      <c r="M50" s="6">
        <f t="shared" si="3"/>
        <v>1.5</v>
      </c>
      <c r="N50" s="6">
        <f t="shared" si="4"/>
        <v>1.7222222222222223</v>
      </c>
      <c r="O50" s="6">
        <f t="shared" si="5"/>
        <v>-1</v>
      </c>
    </row>
    <row r="51" spans="1:15">
      <c r="A51" t="s">
        <v>321</v>
      </c>
      <c r="B51" t="s">
        <v>149</v>
      </c>
      <c r="C51" t="s">
        <v>18</v>
      </c>
      <c r="D51" t="s">
        <v>47</v>
      </c>
      <c r="E51" t="s">
        <v>143</v>
      </c>
      <c r="F51" s="6">
        <v>-0.12820500000000001</v>
      </c>
      <c r="G51" s="6">
        <f>SUMIF(Ratings_Long!$A$2:$A$577,$A51,Ratings_Long!$N$2:$N$577)/COUNTIF(Ratings_Long!$A$2:$A$577,$A51)</f>
        <v>0</v>
      </c>
      <c r="H51" s="6">
        <f>SUMIF(Ratings_Long!$A$2:$A$577,$A51,Ratings_Long!$O$2:$O$577)/COUNTIF(Ratings_Long!$A$2:$A$577,$A51)</f>
        <v>2.6666666666666665</v>
      </c>
      <c r="I51" s="6">
        <f>SUMIF(Ratings_Long!$A$2:$A$577,$A51,Ratings_Long!$P$2:$P$577)/COUNTIF(Ratings_Long!$A$2:$A$577,$A51)</f>
        <v>3</v>
      </c>
      <c r="J51" s="6">
        <f>SUMIF(Ratings_Long!$A$2:$A$577,$A51,Ratings_Long!$Q$2:$Q$577)/COUNTIF(Ratings_Long!$A$2:$A$577,$A51)</f>
        <v>0</v>
      </c>
      <c r="K51" s="6">
        <f>SUMIF(Ratings_Long!$A$2:$A$577,$A51,Ratings_Long!$R$2:$R$577)/COUNTIF(Ratings_Long!$A$2:$A$577,$A51)</f>
        <v>2</v>
      </c>
      <c r="L51" s="6">
        <f>SUMIF(Ratings_Long!$A$2:$A$577,$A51,Ratings_Long!$S$2:$S$577)/COUNTIF(Ratings_Long!$A$2:$A$577,$A51)</f>
        <v>2</v>
      </c>
      <c r="M51" s="6">
        <f t="shared" si="3"/>
        <v>1.4166666666666665</v>
      </c>
      <c r="N51" s="6">
        <f t="shared" si="4"/>
        <v>1.6111111111111109</v>
      </c>
      <c r="O51" s="6">
        <f t="shared" si="5"/>
        <v>-1</v>
      </c>
    </row>
    <row r="52" spans="1:15">
      <c r="A52" t="s">
        <v>323</v>
      </c>
      <c r="B52" t="s">
        <v>154</v>
      </c>
      <c r="C52" t="s">
        <v>18</v>
      </c>
      <c r="D52" t="s">
        <v>47</v>
      </c>
      <c r="E52" t="s">
        <v>143</v>
      </c>
      <c r="F52" s="6">
        <v>-0.13513500000000001</v>
      </c>
      <c r="G52" s="6">
        <f>SUMIF(Ratings_Long!$A$2:$A$577,$A52,Ratings_Long!$N$2:$N$577)/COUNTIF(Ratings_Long!$A$2:$A$577,$A52)</f>
        <v>0</v>
      </c>
      <c r="H52" s="6">
        <f>SUMIF(Ratings_Long!$A$2:$A$577,$A52,Ratings_Long!$O$2:$O$577)/COUNTIF(Ratings_Long!$A$2:$A$577,$A52)</f>
        <v>2.6666666666666665</v>
      </c>
      <c r="I52" s="6">
        <f>SUMIF(Ratings_Long!$A$2:$A$577,$A52,Ratings_Long!$P$2:$P$577)/COUNTIF(Ratings_Long!$A$2:$A$577,$A52)</f>
        <v>3</v>
      </c>
      <c r="J52" s="6">
        <f>SUMIF(Ratings_Long!$A$2:$A$577,$A52,Ratings_Long!$Q$2:$Q$577)/COUNTIF(Ratings_Long!$A$2:$A$577,$A52)</f>
        <v>0.33333333333333331</v>
      </c>
      <c r="K52" s="6">
        <f>SUMIF(Ratings_Long!$A$2:$A$577,$A52,Ratings_Long!$R$2:$R$577)/COUNTIF(Ratings_Long!$A$2:$A$577,$A52)</f>
        <v>2</v>
      </c>
      <c r="L52" s="6">
        <f>SUMIF(Ratings_Long!$A$2:$A$577,$A52,Ratings_Long!$S$2:$S$577)/COUNTIF(Ratings_Long!$A$2:$A$577,$A52)</f>
        <v>1.6666666666666667</v>
      </c>
      <c r="M52" s="6">
        <f t="shared" si="3"/>
        <v>1.4999999999999998</v>
      </c>
      <c r="N52" s="6">
        <f t="shared" si="4"/>
        <v>1.6111111111111109</v>
      </c>
      <c r="O52" s="6">
        <f t="shared" si="5"/>
        <v>-1</v>
      </c>
    </row>
    <row r="53" spans="1:15">
      <c r="A53" t="s">
        <v>325</v>
      </c>
      <c r="B53" t="s">
        <v>160</v>
      </c>
      <c r="C53" t="s">
        <v>18</v>
      </c>
      <c r="D53" t="s">
        <v>47</v>
      </c>
      <c r="E53" t="s">
        <v>143</v>
      </c>
      <c r="F53" s="6">
        <v>-0.131579</v>
      </c>
      <c r="G53" s="6">
        <f>SUMIF(Ratings_Long!$A$2:$A$577,$A53,Ratings_Long!$N$2:$N$577)/COUNTIF(Ratings_Long!$A$2:$A$577,$A53)</f>
        <v>0</v>
      </c>
      <c r="H53" s="6">
        <f>SUMIF(Ratings_Long!$A$2:$A$577,$A53,Ratings_Long!$O$2:$O$577)/COUNTIF(Ratings_Long!$A$2:$A$577,$A53)</f>
        <v>2.3333333333333335</v>
      </c>
      <c r="I53" s="6">
        <f>SUMIF(Ratings_Long!$A$2:$A$577,$A53,Ratings_Long!$P$2:$P$577)/COUNTIF(Ratings_Long!$A$2:$A$577,$A53)</f>
        <v>2</v>
      </c>
      <c r="J53" s="6">
        <f>SUMIF(Ratings_Long!$A$2:$A$577,$A53,Ratings_Long!$Q$2:$Q$577)/COUNTIF(Ratings_Long!$A$2:$A$577,$A53)</f>
        <v>0</v>
      </c>
      <c r="K53" s="6">
        <f>SUMIF(Ratings_Long!$A$2:$A$577,$A53,Ratings_Long!$R$2:$R$577)/COUNTIF(Ratings_Long!$A$2:$A$577,$A53)</f>
        <v>1.3333333333333333</v>
      </c>
      <c r="L53" s="6">
        <f>SUMIF(Ratings_Long!$A$2:$A$577,$A53,Ratings_Long!$S$2:$S$577)/COUNTIF(Ratings_Long!$A$2:$A$577,$A53)</f>
        <v>1</v>
      </c>
      <c r="M53" s="6">
        <f t="shared" si="3"/>
        <v>1.0833333333333335</v>
      </c>
      <c r="N53" s="6">
        <f t="shared" si="4"/>
        <v>1.1111111111111112</v>
      </c>
      <c r="O53" s="6">
        <f t="shared" si="5"/>
        <v>-1</v>
      </c>
    </row>
    <row r="54" spans="1:15">
      <c r="A54" t="s">
        <v>327</v>
      </c>
      <c r="B54" t="s">
        <v>165</v>
      </c>
      <c r="C54" t="s">
        <v>18</v>
      </c>
      <c r="D54" t="s">
        <v>47</v>
      </c>
      <c r="E54" t="s">
        <v>166</v>
      </c>
      <c r="F54" s="6">
        <v>-0.125</v>
      </c>
      <c r="G54" s="6">
        <f>SUMIF(Ratings_Long!$A$2:$A$577,$A54,Ratings_Long!$N$2:$N$577)/COUNTIF(Ratings_Long!$A$2:$A$577,$A54)</f>
        <v>1</v>
      </c>
      <c r="H54" s="6">
        <f>SUMIF(Ratings_Long!$A$2:$A$577,$A54,Ratings_Long!$O$2:$O$577)/COUNTIF(Ratings_Long!$A$2:$A$577,$A54)</f>
        <v>3</v>
      </c>
      <c r="I54" s="6">
        <f>SUMIF(Ratings_Long!$A$2:$A$577,$A54,Ratings_Long!$P$2:$P$577)/COUNTIF(Ratings_Long!$A$2:$A$577,$A54)</f>
        <v>2.6666666666666665</v>
      </c>
      <c r="J54" s="6">
        <f>SUMIF(Ratings_Long!$A$2:$A$577,$A54,Ratings_Long!$Q$2:$Q$577)/COUNTIF(Ratings_Long!$A$2:$A$577,$A54)</f>
        <v>1</v>
      </c>
      <c r="K54" s="6">
        <f>SUMIF(Ratings_Long!$A$2:$A$577,$A54,Ratings_Long!$R$2:$R$577)/COUNTIF(Ratings_Long!$A$2:$A$577,$A54)</f>
        <v>1.6666666666666667</v>
      </c>
      <c r="L54" s="6">
        <f>SUMIF(Ratings_Long!$A$2:$A$577,$A54,Ratings_Long!$S$2:$S$577)/COUNTIF(Ratings_Long!$A$2:$A$577,$A54)</f>
        <v>2.3333333333333335</v>
      </c>
      <c r="M54" s="6">
        <f t="shared" si="3"/>
        <v>1.9166666666666665</v>
      </c>
      <c r="N54" s="6">
        <f t="shared" si="4"/>
        <v>1.9444444444444444</v>
      </c>
      <c r="O54" s="6">
        <f t="shared" si="5"/>
        <v>-0.33333333333333337</v>
      </c>
    </row>
    <row r="55" spans="1:15">
      <c r="A55" t="s">
        <v>329</v>
      </c>
      <c r="B55" t="s">
        <v>171</v>
      </c>
      <c r="C55" t="s">
        <v>18</v>
      </c>
      <c r="D55" t="s">
        <v>47</v>
      </c>
      <c r="E55" t="s">
        <v>166</v>
      </c>
      <c r="F55" s="6">
        <v>-0.12820500000000001</v>
      </c>
      <c r="G55" s="6">
        <f>SUMIF(Ratings_Long!$A$2:$A$577,$A55,Ratings_Long!$N$2:$N$577)/COUNTIF(Ratings_Long!$A$2:$A$577,$A55)</f>
        <v>0</v>
      </c>
      <c r="H55" s="6">
        <f>SUMIF(Ratings_Long!$A$2:$A$577,$A55,Ratings_Long!$O$2:$O$577)/COUNTIF(Ratings_Long!$A$2:$A$577,$A55)</f>
        <v>3</v>
      </c>
      <c r="I55" s="6">
        <f>SUMIF(Ratings_Long!$A$2:$A$577,$A55,Ratings_Long!$P$2:$P$577)/COUNTIF(Ratings_Long!$A$2:$A$577,$A55)</f>
        <v>3</v>
      </c>
      <c r="J55" s="6">
        <f>SUMIF(Ratings_Long!$A$2:$A$577,$A55,Ratings_Long!$Q$2:$Q$577)/COUNTIF(Ratings_Long!$A$2:$A$577,$A55)</f>
        <v>0</v>
      </c>
      <c r="K55" s="6">
        <f>SUMIF(Ratings_Long!$A$2:$A$577,$A55,Ratings_Long!$R$2:$R$577)/COUNTIF(Ratings_Long!$A$2:$A$577,$A55)</f>
        <v>2</v>
      </c>
      <c r="L55" s="6">
        <f>SUMIF(Ratings_Long!$A$2:$A$577,$A55,Ratings_Long!$S$2:$S$577)/COUNTIF(Ratings_Long!$A$2:$A$577,$A55)</f>
        <v>3</v>
      </c>
      <c r="M55" s="6">
        <f t="shared" si="3"/>
        <v>1.5</v>
      </c>
      <c r="N55" s="6">
        <f t="shared" si="4"/>
        <v>1.8333333333333333</v>
      </c>
      <c r="O55" s="6">
        <f t="shared" si="5"/>
        <v>-1</v>
      </c>
    </row>
    <row r="56" spans="1:15">
      <c r="A56" t="s">
        <v>331</v>
      </c>
      <c r="B56" t="s">
        <v>176</v>
      </c>
      <c r="C56" t="s">
        <v>18</v>
      </c>
      <c r="D56" t="s">
        <v>47</v>
      </c>
      <c r="E56" t="s">
        <v>166</v>
      </c>
      <c r="F56" s="6">
        <v>-0.105263</v>
      </c>
      <c r="G56" s="6">
        <f>SUMIF(Ratings_Long!$A$2:$A$577,$A56,Ratings_Long!$N$2:$N$577)/COUNTIF(Ratings_Long!$A$2:$A$577,$A56)</f>
        <v>1</v>
      </c>
      <c r="H56" s="6">
        <f>SUMIF(Ratings_Long!$A$2:$A$577,$A56,Ratings_Long!$O$2:$O$577)/COUNTIF(Ratings_Long!$A$2:$A$577,$A56)</f>
        <v>3</v>
      </c>
      <c r="I56" s="6">
        <f>SUMIF(Ratings_Long!$A$2:$A$577,$A56,Ratings_Long!$P$2:$P$577)/COUNTIF(Ratings_Long!$A$2:$A$577,$A56)</f>
        <v>3</v>
      </c>
      <c r="J56" s="6">
        <f>SUMIF(Ratings_Long!$A$2:$A$577,$A56,Ratings_Long!$Q$2:$Q$577)/COUNTIF(Ratings_Long!$A$2:$A$577,$A56)</f>
        <v>1</v>
      </c>
      <c r="K56" s="6">
        <f>SUMIF(Ratings_Long!$A$2:$A$577,$A56,Ratings_Long!$R$2:$R$577)/COUNTIF(Ratings_Long!$A$2:$A$577,$A56)</f>
        <v>2</v>
      </c>
      <c r="L56" s="6">
        <f>SUMIF(Ratings_Long!$A$2:$A$577,$A56,Ratings_Long!$S$2:$S$577)/COUNTIF(Ratings_Long!$A$2:$A$577,$A56)</f>
        <v>2</v>
      </c>
      <c r="M56" s="6">
        <f t="shared" si="3"/>
        <v>2</v>
      </c>
      <c r="N56" s="6">
        <f t="shared" si="4"/>
        <v>2</v>
      </c>
      <c r="O56" s="6">
        <f t="shared" si="5"/>
        <v>-0.33333333333333337</v>
      </c>
    </row>
    <row r="57" spans="1:15">
      <c r="A57" t="s">
        <v>333</v>
      </c>
      <c r="B57" t="s">
        <v>181</v>
      </c>
      <c r="C57" t="s">
        <v>18</v>
      </c>
      <c r="D57" t="s">
        <v>47</v>
      </c>
      <c r="E57" t="s">
        <v>166</v>
      </c>
      <c r="F57" s="6">
        <v>-0.13888900000000001</v>
      </c>
      <c r="G57" s="6">
        <f>SUMIF(Ratings_Long!$A$2:$A$577,$A57,Ratings_Long!$N$2:$N$577)/COUNTIF(Ratings_Long!$A$2:$A$577,$A57)</f>
        <v>0</v>
      </c>
      <c r="H57" s="6">
        <f>SUMIF(Ratings_Long!$A$2:$A$577,$A57,Ratings_Long!$O$2:$O$577)/COUNTIF(Ratings_Long!$A$2:$A$577,$A57)</f>
        <v>3</v>
      </c>
      <c r="I57" s="6">
        <f>SUMIF(Ratings_Long!$A$2:$A$577,$A57,Ratings_Long!$P$2:$P$577)/COUNTIF(Ratings_Long!$A$2:$A$577,$A57)</f>
        <v>3</v>
      </c>
      <c r="J57" s="6">
        <f>SUMIF(Ratings_Long!$A$2:$A$577,$A57,Ratings_Long!$Q$2:$Q$577)/COUNTIF(Ratings_Long!$A$2:$A$577,$A57)</f>
        <v>0</v>
      </c>
      <c r="K57" s="6">
        <f>SUMIF(Ratings_Long!$A$2:$A$577,$A57,Ratings_Long!$R$2:$R$577)/COUNTIF(Ratings_Long!$A$2:$A$577,$A57)</f>
        <v>2</v>
      </c>
      <c r="L57" s="6">
        <f>SUMIF(Ratings_Long!$A$2:$A$577,$A57,Ratings_Long!$S$2:$S$577)/COUNTIF(Ratings_Long!$A$2:$A$577,$A57)</f>
        <v>2</v>
      </c>
      <c r="M57" s="6">
        <f t="shared" si="3"/>
        <v>1.5</v>
      </c>
      <c r="N57" s="6">
        <f t="shared" si="4"/>
        <v>1.6666666666666667</v>
      </c>
      <c r="O57" s="6">
        <f t="shared" si="5"/>
        <v>-1</v>
      </c>
    </row>
    <row r="58" spans="1:15">
      <c r="A58" t="s">
        <v>335</v>
      </c>
      <c r="B58" t="s">
        <v>186</v>
      </c>
      <c r="C58" t="s">
        <v>18</v>
      </c>
      <c r="D58" t="s">
        <v>47</v>
      </c>
      <c r="E58" t="s">
        <v>187</v>
      </c>
      <c r="F58" s="6">
        <v>-0.119048</v>
      </c>
      <c r="G58" s="6">
        <f>SUMIF(Ratings_Long!$A$2:$A$577,$A58,Ratings_Long!$N$2:$N$577)/COUNTIF(Ratings_Long!$A$2:$A$577,$A58)</f>
        <v>0</v>
      </c>
      <c r="H58" s="6">
        <f>SUMIF(Ratings_Long!$A$2:$A$577,$A58,Ratings_Long!$O$2:$O$577)/COUNTIF(Ratings_Long!$A$2:$A$577,$A58)</f>
        <v>2.3333333333333335</v>
      </c>
      <c r="I58" s="6">
        <f>SUMIF(Ratings_Long!$A$2:$A$577,$A58,Ratings_Long!$P$2:$P$577)/COUNTIF(Ratings_Long!$A$2:$A$577,$A58)</f>
        <v>2.6666666666666665</v>
      </c>
      <c r="J58" s="6">
        <f>SUMIF(Ratings_Long!$A$2:$A$577,$A58,Ratings_Long!$Q$2:$Q$577)/COUNTIF(Ratings_Long!$A$2:$A$577,$A58)</f>
        <v>0.33333333333333331</v>
      </c>
      <c r="K58" s="6">
        <f>SUMIF(Ratings_Long!$A$2:$A$577,$A58,Ratings_Long!$R$2:$R$577)/COUNTIF(Ratings_Long!$A$2:$A$577,$A58)</f>
        <v>1.6666666666666667</v>
      </c>
      <c r="L58" s="6">
        <f>SUMIF(Ratings_Long!$A$2:$A$577,$A58,Ratings_Long!$S$2:$S$577)/COUNTIF(Ratings_Long!$A$2:$A$577,$A58)</f>
        <v>2</v>
      </c>
      <c r="M58" s="6">
        <f t="shared" si="3"/>
        <v>1.3333333333333333</v>
      </c>
      <c r="N58" s="6">
        <f t="shared" si="4"/>
        <v>1.5</v>
      </c>
      <c r="O58" s="6">
        <f t="shared" si="5"/>
        <v>-1</v>
      </c>
    </row>
    <row r="59" spans="1:15">
      <c r="A59" t="s">
        <v>337</v>
      </c>
      <c r="B59" t="s">
        <v>192</v>
      </c>
      <c r="C59" t="s">
        <v>18</v>
      </c>
      <c r="D59" t="s">
        <v>47</v>
      </c>
      <c r="E59" t="s">
        <v>187</v>
      </c>
      <c r="F59" s="6">
        <v>-0.147059</v>
      </c>
      <c r="G59" s="6">
        <f>SUMIF(Ratings_Long!$A$2:$A$577,$A59,Ratings_Long!$N$2:$N$577)/COUNTIF(Ratings_Long!$A$2:$A$577,$A59)</f>
        <v>0</v>
      </c>
      <c r="H59" s="6">
        <f>SUMIF(Ratings_Long!$A$2:$A$577,$A59,Ratings_Long!$O$2:$O$577)/COUNTIF(Ratings_Long!$A$2:$A$577,$A59)</f>
        <v>2</v>
      </c>
      <c r="I59" s="6">
        <f>SUMIF(Ratings_Long!$A$2:$A$577,$A59,Ratings_Long!$P$2:$P$577)/COUNTIF(Ratings_Long!$A$2:$A$577,$A59)</f>
        <v>2</v>
      </c>
      <c r="J59" s="6">
        <f>SUMIF(Ratings_Long!$A$2:$A$577,$A59,Ratings_Long!$Q$2:$Q$577)/COUNTIF(Ratings_Long!$A$2:$A$577,$A59)</f>
        <v>0.33333333333333331</v>
      </c>
      <c r="K59" s="6">
        <f>SUMIF(Ratings_Long!$A$2:$A$577,$A59,Ratings_Long!$R$2:$R$577)/COUNTIF(Ratings_Long!$A$2:$A$577,$A59)</f>
        <v>1.6666666666666667</v>
      </c>
      <c r="L59" s="6">
        <f>SUMIF(Ratings_Long!$A$2:$A$577,$A59,Ratings_Long!$S$2:$S$577)/COUNTIF(Ratings_Long!$A$2:$A$577,$A59)</f>
        <v>2</v>
      </c>
      <c r="M59" s="6">
        <f t="shared" si="3"/>
        <v>1.0833333333333333</v>
      </c>
      <c r="N59" s="6">
        <f t="shared" si="4"/>
        <v>1.3333333333333333</v>
      </c>
      <c r="O59" s="6">
        <f t="shared" si="5"/>
        <v>-1</v>
      </c>
    </row>
    <row r="60" spans="1:15">
      <c r="A60" t="s">
        <v>339</v>
      </c>
      <c r="B60" t="s">
        <v>197</v>
      </c>
      <c r="C60" t="s">
        <v>18</v>
      </c>
      <c r="D60" t="s">
        <v>47</v>
      </c>
      <c r="E60" t="s">
        <v>187</v>
      </c>
      <c r="F60" s="6">
        <v>-0.121951</v>
      </c>
      <c r="G60" s="6">
        <f>SUMIF(Ratings_Long!$A$2:$A$577,$A60,Ratings_Long!$N$2:$N$577)/COUNTIF(Ratings_Long!$A$2:$A$577,$A60)</f>
        <v>0.33333333333333331</v>
      </c>
      <c r="H60" s="6">
        <f>SUMIF(Ratings_Long!$A$2:$A$577,$A60,Ratings_Long!$O$2:$O$577)/COUNTIF(Ratings_Long!$A$2:$A$577,$A60)</f>
        <v>3</v>
      </c>
      <c r="I60" s="6">
        <f>SUMIF(Ratings_Long!$A$2:$A$577,$A60,Ratings_Long!$P$2:$P$577)/COUNTIF(Ratings_Long!$A$2:$A$577,$A60)</f>
        <v>3</v>
      </c>
      <c r="J60" s="6">
        <f>SUMIF(Ratings_Long!$A$2:$A$577,$A60,Ratings_Long!$Q$2:$Q$577)/COUNTIF(Ratings_Long!$A$2:$A$577,$A60)</f>
        <v>1</v>
      </c>
      <c r="K60" s="6">
        <f>SUMIF(Ratings_Long!$A$2:$A$577,$A60,Ratings_Long!$R$2:$R$577)/COUNTIF(Ratings_Long!$A$2:$A$577,$A60)</f>
        <v>1.6666666666666667</v>
      </c>
      <c r="L60" s="6">
        <f>SUMIF(Ratings_Long!$A$2:$A$577,$A60,Ratings_Long!$S$2:$S$577)/COUNTIF(Ratings_Long!$A$2:$A$577,$A60)</f>
        <v>2</v>
      </c>
      <c r="M60" s="6">
        <f t="shared" si="3"/>
        <v>1.8333333333333335</v>
      </c>
      <c r="N60" s="6">
        <f t="shared" si="4"/>
        <v>1.8333333333333333</v>
      </c>
      <c r="O60" s="6">
        <f t="shared" si="5"/>
        <v>-0.77777777777777779</v>
      </c>
    </row>
    <row r="61" spans="1:15">
      <c r="A61" t="s">
        <v>341</v>
      </c>
      <c r="B61" t="s">
        <v>202</v>
      </c>
      <c r="C61" t="s">
        <v>18</v>
      </c>
      <c r="D61" t="s">
        <v>47</v>
      </c>
      <c r="E61" t="s">
        <v>187</v>
      </c>
      <c r="F61" s="6">
        <v>-0.12820500000000001</v>
      </c>
      <c r="G61" s="6">
        <f>SUMIF(Ratings_Long!$A$2:$A$577,$A61,Ratings_Long!$N$2:$N$577)/COUNTIF(Ratings_Long!$A$2:$A$577,$A61)</f>
        <v>1</v>
      </c>
      <c r="H61" s="6">
        <f>SUMIF(Ratings_Long!$A$2:$A$577,$A61,Ratings_Long!$O$2:$O$577)/COUNTIF(Ratings_Long!$A$2:$A$577,$A61)</f>
        <v>3</v>
      </c>
      <c r="I61" s="6">
        <f>SUMIF(Ratings_Long!$A$2:$A$577,$A61,Ratings_Long!$P$2:$P$577)/COUNTIF(Ratings_Long!$A$2:$A$577,$A61)</f>
        <v>2.6666666666666665</v>
      </c>
      <c r="J61" s="6">
        <f>SUMIF(Ratings_Long!$A$2:$A$577,$A61,Ratings_Long!$Q$2:$Q$577)/COUNTIF(Ratings_Long!$A$2:$A$577,$A61)</f>
        <v>1.3333333333333333</v>
      </c>
      <c r="K61" s="6">
        <f>SUMIF(Ratings_Long!$A$2:$A$577,$A61,Ratings_Long!$R$2:$R$577)/COUNTIF(Ratings_Long!$A$2:$A$577,$A61)</f>
        <v>2</v>
      </c>
      <c r="L61" s="6">
        <f>SUMIF(Ratings_Long!$A$2:$A$577,$A61,Ratings_Long!$S$2:$S$577)/COUNTIF(Ratings_Long!$A$2:$A$577,$A61)</f>
        <v>2</v>
      </c>
      <c r="M61" s="6">
        <f t="shared" si="3"/>
        <v>1.9999999999999998</v>
      </c>
      <c r="N61" s="6">
        <f t="shared" si="4"/>
        <v>2</v>
      </c>
      <c r="O61" s="6">
        <f t="shared" si="5"/>
        <v>-0.33333333333333337</v>
      </c>
    </row>
    <row r="62" spans="1:15">
      <c r="A62" t="s">
        <v>343</v>
      </c>
      <c r="B62" t="s">
        <v>207</v>
      </c>
      <c r="C62" t="s">
        <v>18</v>
      </c>
      <c r="D62" t="s">
        <v>47</v>
      </c>
      <c r="E62" t="s">
        <v>208</v>
      </c>
      <c r="F62" s="6">
        <v>-0.125</v>
      </c>
      <c r="G62" s="6">
        <f>SUMIF(Ratings_Long!$A$2:$A$577,$A62,Ratings_Long!$N$2:$N$577)/COUNTIF(Ratings_Long!$A$2:$A$577,$A62)</f>
        <v>0.33333333333333331</v>
      </c>
      <c r="H62" s="6">
        <f>SUMIF(Ratings_Long!$A$2:$A$577,$A62,Ratings_Long!$O$2:$O$577)/COUNTIF(Ratings_Long!$A$2:$A$577,$A62)</f>
        <v>2</v>
      </c>
      <c r="I62" s="6">
        <f>SUMIF(Ratings_Long!$A$2:$A$577,$A62,Ratings_Long!$P$2:$P$577)/COUNTIF(Ratings_Long!$A$2:$A$577,$A62)</f>
        <v>2</v>
      </c>
      <c r="J62" s="6">
        <f>SUMIF(Ratings_Long!$A$2:$A$577,$A62,Ratings_Long!$Q$2:$Q$577)/COUNTIF(Ratings_Long!$A$2:$A$577,$A62)</f>
        <v>0</v>
      </c>
      <c r="K62" s="6">
        <f>SUMIF(Ratings_Long!$A$2:$A$577,$A62,Ratings_Long!$R$2:$R$577)/COUNTIF(Ratings_Long!$A$2:$A$577,$A62)</f>
        <v>1</v>
      </c>
      <c r="L62" s="6">
        <f>SUMIF(Ratings_Long!$A$2:$A$577,$A62,Ratings_Long!$S$2:$S$577)/COUNTIF(Ratings_Long!$A$2:$A$577,$A62)</f>
        <v>1.3333333333333333</v>
      </c>
      <c r="M62" s="6">
        <f t="shared" si="3"/>
        <v>1.0833333333333335</v>
      </c>
      <c r="N62" s="6">
        <f t="shared" si="4"/>
        <v>1.1111111111111112</v>
      </c>
      <c r="O62" s="6">
        <f t="shared" si="5"/>
        <v>-0.77777777777777779</v>
      </c>
    </row>
    <row r="63" spans="1:15">
      <c r="A63" t="s">
        <v>345</v>
      </c>
      <c r="B63" t="s">
        <v>213</v>
      </c>
      <c r="C63" t="s">
        <v>18</v>
      </c>
      <c r="D63" t="s">
        <v>47</v>
      </c>
      <c r="E63" t="s">
        <v>208</v>
      </c>
      <c r="F63" s="6">
        <v>-0.13513500000000001</v>
      </c>
      <c r="G63" s="6">
        <f>SUMIF(Ratings_Long!$A$2:$A$577,$A63,Ratings_Long!$N$2:$N$577)/COUNTIF(Ratings_Long!$A$2:$A$577,$A63)</f>
        <v>0</v>
      </c>
      <c r="H63" s="6">
        <f>SUMIF(Ratings_Long!$A$2:$A$577,$A63,Ratings_Long!$O$2:$O$577)/COUNTIF(Ratings_Long!$A$2:$A$577,$A63)</f>
        <v>3</v>
      </c>
      <c r="I63" s="6">
        <f>SUMIF(Ratings_Long!$A$2:$A$577,$A63,Ratings_Long!$P$2:$P$577)/COUNTIF(Ratings_Long!$A$2:$A$577,$A63)</f>
        <v>3</v>
      </c>
      <c r="J63" s="6">
        <f>SUMIF(Ratings_Long!$A$2:$A$577,$A63,Ratings_Long!$Q$2:$Q$577)/COUNTIF(Ratings_Long!$A$2:$A$577,$A63)</f>
        <v>0</v>
      </c>
      <c r="K63" s="6">
        <f>SUMIF(Ratings_Long!$A$2:$A$577,$A63,Ratings_Long!$R$2:$R$577)/COUNTIF(Ratings_Long!$A$2:$A$577,$A63)</f>
        <v>1</v>
      </c>
      <c r="L63" s="6">
        <f>SUMIF(Ratings_Long!$A$2:$A$577,$A63,Ratings_Long!$S$2:$S$577)/COUNTIF(Ratings_Long!$A$2:$A$577,$A63)</f>
        <v>2</v>
      </c>
      <c r="M63" s="6">
        <f t="shared" si="3"/>
        <v>1.5</v>
      </c>
      <c r="N63" s="6">
        <f t="shared" si="4"/>
        <v>1.5</v>
      </c>
      <c r="O63" s="6">
        <f t="shared" si="5"/>
        <v>-1</v>
      </c>
    </row>
    <row r="64" spans="1:15">
      <c r="A64" t="s">
        <v>347</v>
      </c>
      <c r="B64" t="s">
        <v>218</v>
      </c>
      <c r="C64" t="s">
        <v>18</v>
      </c>
      <c r="D64" t="s">
        <v>47</v>
      </c>
      <c r="E64" t="s">
        <v>208</v>
      </c>
      <c r="F64" s="6">
        <v>-0.13513500000000001</v>
      </c>
      <c r="G64" s="6">
        <f>SUMIF(Ratings_Long!$A$2:$A$577,$A64,Ratings_Long!$N$2:$N$577)/COUNTIF(Ratings_Long!$A$2:$A$577,$A64)</f>
        <v>1</v>
      </c>
      <c r="H64" s="6">
        <f>SUMIF(Ratings_Long!$A$2:$A$577,$A64,Ratings_Long!$O$2:$O$577)/COUNTIF(Ratings_Long!$A$2:$A$577,$A64)</f>
        <v>2.6666666666666665</v>
      </c>
      <c r="I64" s="6">
        <f>SUMIF(Ratings_Long!$A$2:$A$577,$A64,Ratings_Long!$P$2:$P$577)/COUNTIF(Ratings_Long!$A$2:$A$577,$A64)</f>
        <v>2</v>
      </c>
      <c r="J64" s="6">
        <f>SUMIF(Ratings_Long!$A$2:$A$577,$A64,Ratings_Long!$Q$2:$Q$577)/COUNTIF(Ratings_Long!$A$2:$A$577,$A64)</f>
        <v>1</v>
      </c>
      <c r="K64" s="6">
        <f>SUMIF(Ratings_Long!$A$2:$A$577,$A64,Ratings_Long!$R$2:$R$577)/COUNTIF(Ratings_Long!$A$2:$A$577,$A64)</f>
        <v>1.3333333333333333</v>
      </c>
      <c r="L64" s="6">
        <f>SUMIF(Ratings_Long!$A$2:$A$577,$A64,Ratings_Long!$S$2:$S$577)/COUNTIF(Ratings_Long!$A$2:$A$577,$A64)</f>
        <v>1.6666666666666667</v>
      </c>
      <c r="M64" s="6">
        <f t="shared" si="3"/>
        <v>1.6666666666666665</v>
      </c>
      <c r="N64" s="6">
        <f t="shared" si="4"/>
        <v>1.6111111111111109</v>
      </c>
      <c r="O64" s="6">
        <f t="shared" si="5"/>
        <v>-0.33333333333333337</v>
      </c>
    </row>
    <row r="65" spans="1:15">
      <c r="A65" t="s">
        <v>349</v>
      </c>
      <c r="B65" t="s">
        <v>223</v>
      </c>
      <c r="C65" t="s">
        <v>18</v>
      </c>
      <c r="D65" t="s">
        <v>47</v>
      </c>
      <c r="E65" t="s">
        <v>208</v>
      </c>
      <c r="F65" s="6">
        <v>-0.12820500000000001</v>
      </c>
      <c r="G65" s="6">
        <f>SUMIF(Ratings_Long!$A$2:$A$577,$A65,Ratings_Long!$N$2:$N$577)/COUNTIF(Ratings_Long!$A$2:$A$577,$A65)</f>
        <v>2</v>
      </c>
      <c r="H65" s="6">
        <f>SUMIF(Ratings_Long!$A$2:$A$577,$A65,Ratings_Long!$O$2:$O$577)/COUNTIF(Ratings_Long!$A$2:$A$577,$A65)</f>
        <v>3</v>
      </c>
      <c r="I65" s="6">
        <f>SUMIF(Ratings_Long!$A$2:$A$577,$A65,Ratings_Long!$P$2:$P$577)/COUNTIF(Ratings_Long!$A$2:$A$577,$A65)</f>
        <v>3</v>
      </c>
      <c r="J65" s="6">
        <f>SUMIF(Ratings_Long!$A$2:$A$577,$A65,Ratings_Long!$Q$2:$Q$577)/COUNTIF(Ratings_Long!$A$2:$A$577,$A65)</f>
        <v>2</v>
      </c>
      <c r="K65" s="6">
        <f>SUMIF(Ratings_Long!$A$2:$A$577,$A65,Ratings_Long!$R$2:$R$577)/COUNTIF(Ratings_Long!$A$2:$A$577,$A65)</f>
        <v>1.6666666666666667</v>
      </c>
      <c r="L65" s="6">
        <f>SUMIF(Ratings_Long!$A$2:$A$577,$A65,Ratings_Long!$S$2:$S$577)/COUNTIF(Ratings_Long!$A$2:$A$577,$A65)</f>
        <v>2</v>
      </c>
      <c r="M65" s="6">
        <f t="shared" si="3"/>
        <v>2.5</v>
      </c>
      <c r="N65" s="6">
        <f t="shared" si="4"/>
        <v>2.2777777777777777</v>
      </c>
      <c r="O65" s="6">
        <f t="shared" si="5"/>
        <v>0.33333333333333326</v>
      </c>
    </row>
    <row r="66" spans="1:15">
      <c r="A66" t="s">
        <v>351</v>
      </c>
      <c r="B66" t="s">
        <v>228</v>
      </c>
      <c r="C66" t="s">
        <v>18</v>
      </c>
      <c r="D66" t="s">
        <v>47</v>
      </c>
      <c r="E66" t="s">
        <v>229</v>
      </c>
      <c r="F66" s="6">
        <v>-0.13888900000000001</v>
      </c>
      <c r="G66" s="6">
        <f>SUMIF(Ratings_Long!$A$2:$A$577,$A66,Ratings_Long!$N$2:$N$577)/COUNTIF(Ratings_Long!$A$2:$A$577,$A66)</f>
        <v>0.33333333333333331</v>
      </c>
      <c r="H66" s="6">
        <f>SUMIF(Ratings_Long!$A$2:$A$577,$A66,Ratings_Long!$O$2:$O$577)/COUNTIF(Ratings_Long!$A$2:$A$577,$A66)</f>
        <v>2</v>
      </c>
      <c r="I66" s="6">
        <f>SUMIF(Ratings_Long!$A$2:$A$577,$A66,Ratings_Long!$P$2:$P$577)/COUNTIF(Ratings_Long!$A$2:$A$577,$A66)</f>
        <v>3</v>
      </c>
      <c r="J66" s="6">
        <f>SUMIF(Ratings_Long!$A$2:$A$577,$A66,Ratings_Long!$Q$2:$Q$577)/COUNTIF(Ratings_Long!$A$2:$A$577,$A66)</f>
        <v>1</v>
      </c>
      <c r="K66" s="6">
        <f>SUMIF(Ratings_Long!$A$2:$A$577,$A66,Ratings_Long!$R$2:$R$577)/COUNTIF(Ratings_Long!$A$2:$A$577,$A66)</f>
        <v>2</v>
      </c>
      <c r="L66" s="6">
        <f>SUMIF(Ratings_Long!$A$2:$A$577,$A66,Ratings_Long!$S$2:$S$577)/COUNTIF(Ratings_Long!$A$2:$A$577,$A66)</f>
        <v>2</v>
      </c>
      <c r="M66" s="6">
        <f t="shared" ref="M66:M97" si="6">AVERAGE(G66:J66)</f>
        <v>1.5833333333333335</v>
      </c>
      <c r="N66" s="6">
        <f t="shared" ref="N66:N97" si="7">AVERAGE(G66:L66)</f>
        <v>1.7222222222222223</v>
      </c>
      <c r="O66" s="6">
        <f t="shared" ref="O66:O97" si="8">(G66/3)*2-1</f>
        <v>-0.77777777777777779</v>
      </c>
    </row>
    <row r="67" spans="1:15">
      <c r="A67" t="s">
        <v>353</v>
      </c>
      <c r="B67" t="s">
        <v>234</v>
      </c>
      <c r="C67" t="s">
        <v>18</v>
      </c>
      <c r="D67" t="s">
        <v>47</v>
      </c>
      <c r="E67" t="s">
        <v>229</v>
      </c>
      <c r="F67" s="6">
        <v>-0.119048</v>
      </c>
      <c r="G67" s="6">
        <f>SUMIF(Ratings_Long!$A$2:$A$577,$A67,Ratings_Long!$N$2:$N$577)/COUNTIF(Ratings_Long!$A$2:$A$577,$A67)</f>
        <v>0</v>
      </c>
      <c r="H67" s="6">
        <f>SUMIF(Ratings_Long!$A$2:$A$577,$A67,Ratings_Long!$O$2:$O$577)/COUNTIF(Ratings_Long!$A$2:$A$577,$A67)</f>
        <v>2.6666666666666665</v>
      </c>
      <c r="I67" s="6">
        <f>SUMIF(Ratings_Long!$A$2:$A$577,$A67,Ratings_Long!$P$2:$P$577)/COUNTIF(Ratings_Long!$A$2:$A$577,$A67)</f>
        <v>2.3333333333333335</v>
      </c>
      <c r="J67" s="6">
        <f>SUMIF(Ratings_Long!$A$2:$A$577,$A67,Ratings_Long!$Q$2:$Q$577)/COUNTIF(Ratings_Long!$A$2:$A$577,$A67)</f>
        <v>0</v>
      </c>
      <c r="K67" s="6">
        <f>SUMIF(Ratings_Long!$A$2:$A$577,$A67,Ratings_Long!$R$2:$R$577)/COUNTIF(Ratings_Long!$A$2:$A$577,$A67)</f>
        <v>1</v>
      </c>
      <c r="L67" s="6">
        <f>SUMIF(Ratings_Long!$A$2:$A$577,$A67,Ratings_Long!$S$2:$S$577)/COUNTIF(Ratings_Long!$A$2:$A$577,$A67)</f>
        <v>2</v>
      </c>
      <c r="M67" s="6">
        <f t="shared" si="6"/>
        <v>1.25</v>
      </c>
      <c r="N67" s="6">
        <f t="shared" si="7"/>
        <v>1.3333333333333333</v>
      </c>
      <c r="O67" s="6">
        <f t="shared" si="8"/>
        <v>-1</v>
      </c>
    </row>
    <row r="68" spans="1:15">
      <c r="A68" t="s">
        <v>355</v>
      </c>
      <c r="B68" t="s">
        <v>239</v>
      </c>
      <c r="C68" t="s">
        <v>18</v>
      </c>
      <c r="D68" t="s">
        <v>47</v>
      </c>
      <c r="E68" t="s">
        <v>229</v>
      </c>
      <c r="F68" s="6">
        <v>-0.12820500000000001</v>
      </c>
      <c r="G68" s="6">
        <f>SUMIF(Ratings_Long!$A$2:$A$577,$A68,Ratings_Long!$N$2:$N$577)/COUNTIF(Ratings_Long!$A$2:$A$577,$A68)</f>
        <v>1.6666666666666667</v>
      </c>
      <c r="H68" s="6">
        <f>SUMIF(Ratings_Long!$A$2:$A$577,$A68,Ratings_Long!$O$2:$O$577)/COUNTIF(Ratings_Long!$A$2:$A$577,$A68)</f>
        <v>2.6666666666666665</v>
      </c>
      <c r="I68" s="6">
        <f>SUMIF(Ratings_Long!$A$2:$A$577,$A68,Ratings_Long!$P$2:$P$577)/COUNTIF(Ratings_Long!$A$2:$A$577,$A68)</f>
        <v>2</v>
      </c>
      <c r="J68" s="6">
        <f>SUMIF(Ratings_Long!$A$2:$A$577,$A68,Ratings_Long!$Q$2:$Q$577)/COUNTIF(Ratings_Long!$A$2:$A$577,$A68)</f>
        <v>2</v>
      </c>
      <c r="K68" s="6">
        <f>SUMIF(Ratings_Long!$A$2:$A$577,$A68,Ratings_Long!$R$2:$R$577)/COUNTIF(Ratings_Long!$A$2:$A$577,$A68)</f>
        <v>2</v>
      </c>
      <c r="L68" s="6">
        <f>SUMIF(Ratings_Long!$A$2:$A$577,$A68,Ratings_Long!$S$2:$S$577)/COUNTIF(Ratings_Long!$A$2:$A$577,$A68)</f>
        <v>2</v>
      </c>
      <c r="M68" s="6">
        <f t="shared" si="6"/>
        <v>2.083333333333333</v>
      </c>
      <c r="N68" s="6">
        <f t="shared" si="7"/>
        <v>2.0555555555555554</v>
      </c>
      <c r="O68" s="6">
        <f t="shared" si="8"/>
        <v>0.11111111111111116</v>
      </c>
    </row>
    <row r="69" spans="1:15">
      <c r="A69" t="s">
        <v>357</v>
      </c>
      <c r="B69" t="s">
        <v>244</v>
      </c>
      <c r="C69" t="s">
        <v>18</v>
      </c>
      <c r="D69" t="s">
        <v>47</v>
      </c>
      <c r="E69" t="s">
        <v>229</v>
      </c>
      <c r="F69" s="6">
        <v>-0.13513500000000001</v>
      </c>
      <c r="G69" s="6">
        <f>SUMIF(Ratings_Long!$A$2:$A$577,$A69,Ratings_Long!$N$2:$N$577)/COUNTIF(Ratings_Long!$A$2:$A$577,$A69)</f>
        <v>0</v>
      </c>
      <c r="H69" s="6">
        <f>SUMIF(Ratings_Long!$A$2:$A$577,$A69,Ratings_Long!$O$2:$O$577)/COUNTIF(Ratings_Long!$A$2:$A$577,$A69)</f>
        <v>3</v>
      </c>
      <c r="I69" s="6">
        <f>SUMIF(Ratings_Long!$A$2:$A$577,$A69,Ratings_Long!$P$2:$P$577)/COUNTIF(Ratings_Long!$A$2:$A$577,$A69)</f>
        <v>3</v>
      </c>
      <c r="J69" s="6">
        <f>SUMIF(Ratings_Long!$A$2:$A$577,$A69,Ratings_Long!$Q$2:$Q$577)/COUNTIF(Ratings_Long!$A$2:$A$577,$A69)</f>
        <v>0</v>
      </c>
      <c r="K69" s="6">
        <f>SUMIF(Ratings_Long!$A$2:$A$577,$A69,Ratings_Long!$R$2:$R$577)/COUNTIF(Ratings_Long!$A$2:$A$577,$A69)</f>
        <v>2</v>
      </c>
      <c r="L69" s="6">
        <f>SUMIF(Ratings_Long!$A$2:$A$577,$A69,Ratings_Long!$S$2:$S$577)/COUNTIF(Ratings_Long!$A$2:$A$577,$A69)</f>
        <v>3</v>
      </c>
      <c r="M69" s="6">
        <f t="shared" si="6"/>
        <v>1.5</v>
      </c>
      <c r="N69" s="6">
        <f t="shared" si="7"/>
        <v>1.8333333333333333</v>
      </c>
      <c r="O69" s="6">
        <f t="shared" si="8"/>
        <v>-1</v>
      </c>
    </row>
    <row r="70" spans="1:15">
      <c r="A70" t="s">
        <v>359</v>
      </c>
      <c r="B70" t="s">
        <v>249</v>
      </c>
      <c r="C70" t="s">
        <v>18</v>
      </c>
      <c r="D70" t="s">
        <v>47</v>
      </c>
      <c r="E70" t="s">
        <v>250</v>
      </c>
      <c r="F70" s="6">
        <v>-0.14285700000000001</v>
      </c>
      <c r="G70" s="6">
        <f>SUMIF(Ratings_Long!$A$2:$A$577,$A70,Ratings_Long!$N$2:$N$577)/COUNTIF(Ratings_Long!$A$2:$A$577,$A70)</f>
        <v>0</v>
      </c>
      <c r="H70" s="6">
        <f>SUMIF(Ratings_Long!$A$2:$A$577,$A70,Ratings_Long!$O$2:$O$577)/COUNTIF(Ratings_Long!$A$2:$A$577,$A70)</f>
        <v>3</v>
      </c>
      <c r="I70" s="6">
        <f>SUMIF(Ratings_Long!$A$2:$A$577,$A70,Ratings_Long!$P$2:$P$577)/COUNTIF(Ratings_Long!$A$2:$A$577,$A70)</f>
        <v>3</v>
      </c>
      <c r="J70" s="6">
        <f>SUMIF(Ratings_Long!$A$2:$A$577,$A70,Ratings_Long!$Q$2:$Q$577)/COUNTIF(Ratings_Long!$A$2:$A$577,$A70)</f>
        <v>0</v>
      </c>
      <c r="K70" s="6">
        <f>SUMIF(Ratings_Long!$A$2:$A$577,$A70,Ratings_Long!$R$2:$R$577)/COUNTIF(Ratings_Long!$A$2:$A$577,$A70)</f>
        <v>2</v>
      </c>
      <c r="L70" s="6">
        <f>SUMIF(Ratings_Long!$A$2:$A$577,$A70,Ratings_Long!$S$2:$S$577)/COUNTIF(Ratings_Long!$A$2:$A$577,$A70)</f>
        <v>1.3333333333333333</v>
      </c>
      <c r="M70" s="6">
        <f t="shared" si="6"/>
        <v>1.5</v>
      </c>
      <c r="N70" s="6">
        <f t="shared" si="7"/>
        <v>1.5555555555555556</v>
      </c>
      <c r="O70" s="6">
        <f t="shared" si="8"/>
        <v>-1</v>
      </c>
    </row>
    <row r="71" spans="1:15">
      <c r="A71" t="s">
        <v>361</v>
      </c>
      <c r="B71" t="s">
        <v>255</v>
      </c>
      <c r="C71" t="s">
        <v>18</v>
      </c>
      <c r="D71" t="s">
        <v>47</v>
      </c>
      <c r="E71" t="s">
        <v>250</v>
      </c>
      <c r="F71" s="6">
        <v>-0.125</v>
      </c>
      <c r="G71" s="6">
        <f>SUMIF(Ratings_Long!$A$2:$A$577,$A71,Ratings_Long!$N$2:$N$577)/COUNTIF(Ratings_Long!$A$2:$A$577,$A71)</f>
        <v>0</v>
      </c>
      <c r="H71" s="6">
        <f>SUMIF(Ratings_Long!$A$2:$A$577,$A71,Ratings_Long!$O$2:$O$577)/COUNTIF(Ratings_Long!$A$2:$A$577,$A71)</f>
        <v>2.6666666666666665</v>
      </c>
      <c r="I71" s="6">
        <f>SUMIF(Ratings_Long!$A$2:$A$577,$A71,Ratings_Long!$P$2:$P$577)/COUNTIF(Ratings_Long!$A$2:$A$577,$A71)</f>
        <v>2</v>
      </c>
      <c r="J71" s="6">
        <f>SUMIF(Ratings_Long!$A$2:$A$577,$A71,Ratings_Long!$Q$2:$Q$577)/COUNTIF(Ratings_Long!$A$2:$A$577,$A71)</f>
        <v>1</v>
      </c>
      <c r="K71" s="6">
        <f>SUMIF(Ratings_Long!$A$2:$A$577,$A71,Ratings_Long!$R$2:$R$577)/COUNTIF(Ratings_Long!$A$2:$A$577,$A71)</f>
        <v>1.6666666666666667</v>
      </c>
      <c r="L71" s="6">
        <f>SUMIF(Ratings_Long!$A$2:$A$577,$A71,Ratings_Long!$S$2:$S$577)/COUNTIF(Ratings_Long!$A$2:$A$577,$A71)</f>
        <v>2</v>
      </c>
      <c r="M71" s="6">
        <f t="shared" si="6"/>
        <v>1.4166666666666665</v>
      </c>
      <c r="N71" s="6">
        <f t="shared" si="7"/>
        <v>1.5555555555555554</v>
      </c>
      <c r="O71" s="6">
        <f t="shared" si="8"/>
        <v>-1</v>
      </c>
    </row>
    <row r="72" spans="1:15">
      <c r="A72" t="s">
        <v>363</v>
      </c>
      <c r="B72" t="s">
        <v>260</v>
      </c>
      <c r="C72" t="s">
        <v>18</v>
      </c>
      <c r="D72" t="s">
        <v>47</v>
      </c>
      <c r="E72" t="s">
        <v>250</v>
      </c>
      <c r="F72" s="6">
        <v>-0.14285700000000001</v>
      </c>
      <c r="G72" s="6">
        <f>SUMIF(Ratings_Long!$A$2:$A$577,$A72,Ratings_Long!$N$2:$N$577)/COUNTIF(Ratings_Long!$A$2:$A$577,$A72)</f>
        <v>0.66666666666666663</v>
      </c>
      <c r="H72" s="6">
        <f>SUMIF(Ratings_Long!$A$2:$A$577,$A72,Ratings_Long!$O$2:$O$577)/COUNTIF(Ratings_Long!$A$2:$A$577,$A72)</f>
        <v>2.3333333333333335</v>
      </c>
      <c r="I72" s="6">
        <f>SUMIF(Ratings_Long!$A$2:$A$577,$A72,Ratings_Long!$P$2:$P$577)/COUNTIF(Ratings_Long!$A$2:$A$577,$A72)</f>
        <v>2.3333333333333335</v>
      </c>
      <c r="J72" s="6">
        <f>SUMIF(Ratings_Long!$A$2:$A$577,$A72,Ratings_Long!$Q$2:$Q$577)/COUNTIF(Ratings_Long!$A$2:$A$577,$A72)</f>
        <v>0.66666666666666663</v>
      </c>
      <c r="K72" s="6">
        <f>SUMIF(Ratings_Long!$A$2:$A$577,$A72,Ratings_Long!$R$2:$R$577)/COUNTIF(Ratings_Long!$A$2:$A$577,$A72)</f>
        <v>1</v>
      </c>
      <c r="L72" s="6">
        <f>SUMIF(Ratings_Long!$A$2:$A$577,$A72,Ratings_Long!$S$2:$S$577)/COUNTIF(Ratings_Long!$A$2:$A$577,$A72)</f>
        <v>1.3333333333333333</v>
      </c>
      <c r="M72" s="6">
        <f t="shared" si="6"/>
        <v>1.5000000000000002</v>
      </c>
      <c r="N72" s="6">
        <f t="shared" si="7"/>
        <v>1.3888888888888891</v>
      </c>
      <c r="O72" s="6">
        <f t="shared" si="8"/>
        <v>-0.55555555555555558</v>
      </c>
    </row>
    <row r="73" spans="1:15">
      <c r="A73" t="s">
        <v>365</v>
      </c>
      <c r="B73" t="s">
        <v>265</v>
      </c>
      <c r="C73" t="s">
        <v>18</v>
      </c>
      <c r="D73" t="s">
        <v>47</v>
      </c>
      <c r="E73" t="s">
        <v>250</v>
      </c>
      <c r="F73" s="6">
        <v>-0.125</v>
      </c>
      <c r="G73" s="6">
        <f>SUMIF(Ratings_Long!$A$2:$A$577,$A73,Ratings_Long!$N$2:$N$577)/COUNTIF(Ratings_Long!$A$2:$A$577,$A73)</f>
        <v>0</v>
      </c>
      <c r="H73" s="6">
        <f>SUMIF(Ratings_Long!$A$2:$A$577,$A73,Ratings_Long!$O$2:$O$577)/COUNTIF(Ratings_Long!$A$2:$A$577,$A73)</f>
        <v>2.6666666666666665</v>
      </c>
      <c r="I73" s="6">
        <f>SUMIF(Ratings_Long!$A$2:$A$577,$A73,Ratings_Long!$P$2:$P$577)/COUNTIF(Ratings_Long!$A$2:$A$577,$A73)</f>
        <v>3</v>
      </c>
      <c r="J73" s="6">
        <f>SUMIF(Ratings_Long!$A$2:$A$577,$A73,Ratings_Long!$Q$2:$Q$577)/COUNTIF(Ratings_Long!$A$2:$A$577,$A73)</f>
        <v>0.33333333333333331</v>
      </c>
      <c r="K73" s="6">
        <f>SUMIF(Ratings_Long!$A$2:$A$577,$A73,Ratings_Long!$R$2:$R$577)/COUNTIF(Ratings_Long!$A$2:$A$577,$A73)</f>
        <v>2</v>
      </c>
      <c r="L73" s="6">
        <f>SUMIF(Ratings_Long!$A$2:$A$577,$A73,Ratings_Long!$S$2:$S$577)/COUNTIF(Ratings_Long!$A$2:$A$577,$A73)</f>
        <v>1.6666666666666667</v>
      </c>
      <c r="M73" s="6">
        <f t="shared" si="6"/>
        <v>1.4999999999999998</v>
      </c>
      <c r="N73" s="6">
        <f t="shared" si="7"/>
        <v>1.6111111111111109</v>
      </c>
      <c r="O73" s="6">
        <f t="shared" si="8"/>
        <v>-1</v>
      </c>
    </row>
    <row r="74" spans="1:15">
      <c r="A74" t="s">
        <v>367</v>
      </c>
      <c r="B74" t="s">
        <v>142</v>
      </c>
      <c r="C74" t="s">
        <v>19</v>
      </c>
      <c r="D74" t="s">
        <v>49</v>
      </c>
      <c r="E74" t="s">
        <v>143</v>
      </c>
      <c r="F74" s="6">
        <v>-0.08</v>
      </c>
      <c r="G74" s="6">
        <f>SUMIF(Ratings_Long!$A$2:$A$577,$A74,Ratings_Long!$N$2:$N$577)/COUNTIF(Ratings_Long!$A$2:$A$577,$A74)</f>
        <v>0</v>
      </c>
      <c r="H74" s="6">
        <f>SUMIF(Ratings_Long!$A$2:$A$577,$A74,Ratings_Long!$O$2:$O$577)/COUNTIF(Ratings_Long!$A$2:$A$577,$A74)</f>
        <v>2.6666666666666665</v>
      </c>
      <c r="I74" s="6">
        <f>SUMIF(Ratings_Long!$A$2:$A$577,$A74,Ratings_Long!$P$2:$P$577)/COUNTIF(Ratings_Long!$A$2:$A$577,$A74)</f>
        <v>3</v>
      </c>
      <c r="J74" s="6">
        <f>SUMIF(Ratings_Long!$A$2:$A$577,$A74,Ratings_Long!$Q$2:$Q$577)/COUNTIF(Ratings_Long!$A$2:$A$577,$A74)</f>
        <v>0</v>
      </c>
      <c r="K74" s="6">
        <f>SUMIF(Ratings_Long!$A$2:$A$577,$A74,Ratings_Long!$R$2:$R$577)/COUNTIF(Ratings_Long!$A$2:$A$577,$A74)</f>
        <v>2</v>
      </c>
      <c r="L74" s="6">
        <f>SUMIF(Ratings_Long!$A$2:$A$577,$A74,Ratings_Long!$S$2:$S$577)/COUNTIF(Ratings_Long!$A$2:$A$577,$A74)</f>
        <v>3</v>
      </c>
      <c r="M74" s="6">
        <f t="shared" si="6"/>
        <v>1.4166666666666665</v>
      </c>
      <c r="N74" s="6">
        <f t="shared" si="7"/>
        <v>1.7777777777777777</v>
      </c>
      <c r="O74" s="6">
        <f t="shared" si="8"/>
        <v>-1</v>
      </c>
    </row>
    <row r="75" spans="1:15">
      <c r="A75" t="s">
        <v>370</v>
      </c>
      <c r="B75" t="s">
        <v>149</v>
      </c>
      <c r="C75" t="s">
        <v>19</v>
      </c>
      <c r="D75" t="s">
        <v>49</v>
      </c>
      <c r="E75" t="s">
        <v>143</v>
      </c>
      <c r="F75" s="6">
        <v>-7.6923000000000005E-2</v>
      </c>
      <c r="G75" s="6">
        <f>SUMIF(Ratings_Long!$A$2:$A$577,$A75,Ratings_Long!$N$2:$N$577)/COUNTIF(Ratings_Long!$A$2:$A$577,$A75)</f>
        <v>1.3333333333333333</v>
      </c>
      <c r="H75" s="6">
        <f>SUMIF(Ratings_Long!$A$2:$A$577,$A75,Ratings_Long!$O$2:$O$577)/COUNTIF(Ratings_Long!$A$2:$A$577,$A75)</f>
        <v>3</v>
      </c>
      <c r="I75" s="6">
        <f>SUMIF(Ratings_Long!$A$2:$A$577,$A75,Ratings_Long!$P$2:$P$577)/COUNTIF(Ratings_Long!$A$2:$A$577,$A75)</f>
        <v>3</v>
      </c>
      <c r="J75" s="6">
        <f>SUMIF(Ratings_Long!$A$2:$A$577,$A75,Ratings_Long!$Q$2:$Q$577)/COUNTIF(Ratings_Long!$A$2:$A$577,$A75)</f>
        <v>1</v>
      </c>
      <c r="K75" s="6">
        <f>SUMIF(Ratings_Long!$A$2:$A$577,$A75,Ratings_Long!$R$2:$R$577)/COUNTIF(Ratings_Long!$A$2:$A$577,$A75)</f>
        <v>2</v>
      </c>
      <c r="L75" s="6">
        <f>SUMIF(Ratings_Long!$A$2:$A$577,$A75,Ratings_Long!$S$2:$S$577)/COUNTIF(Ratings_Long!$A$2:$A$577,$A75)</f>
        <v>3</v>
      </c>
      <c r="M75" s="6">
        <f t="shared" si="6"/>
        <v>2.083333333333333</v>
      </c>
      <c r="N75" s="6">
        <f t="shared" si="7"/>
        <v>2.2222222222222219</v>
      </c>
      <c r="O75" s="6">
        <f t="shared" si="8"/>
        <v>-0.11111111111111116</v>
      </c>
    </row>
    <row r="76" spans="1:15">
      <c r="A76" t="s">
        <v>372</v>
      </c>
      <c r="B76" t="s">
        <v>154</v>
      </c>
      <c r="C76" t="s">
        <v>19</v>
      </c>
      <c r="D76" t="s">
        <v>49</v>
      </c>
      <c r="E76" t="s">
        <v>143</v>
      </c>
      <c r="F76" s="6">
        <v>-8.6957000000000007E-2</v>
      </c>
      <c r="G76" s="6">
        <f>SUMIF(Ratings_Long!$A$2:$A$577,$A76,Ratings_Long!$N$2:$N$577)/COUNTIF(Ratings_Long!$A$2:$A$577,$A76)</f>
        <v>0</v>
      </c>
      <c r="H76" s="6">
        <f>SUMIF(Ratings_Long!$A$2:$A$577,$A76,Ratings_Long!$O$2:$O$577)/COUNTIF(Ratings_Long!$A$2:$A$577,$A76)</f>
        <v>3</v>
      </c>
      <c r="I76" s="6">
        <f>SUMIF(Ratings_Long!$A$2:$A$577,$A76,Ratings_Long!$P$2:$P$577)/COUNTIF(Ratings_Long!$A$2:$A$577,$A76)</f>
        <v>3</v>
      </c>
      <c r="J76" s="6">
        <f>SUMIF(Ratings_Long!$A$2:$A$577,$A76,Ratings_Long!$Q$2:$Q$577)/COUNTIF(Ratings_Long!$A$2:$A$577,$A76)</f>
        <v>0.33333333333333331</v>
      </c>
      <c r="K76" s="6">
        <f>SUMIF(Ratings_Long!$A$2:$A$577,$A76,Ratings_Long!$R$2:$R$577)/COUNTIF(Ratings_Long!$A$2:$A$577,$A76)</f>
        <v>2.3333333333333335</v>
      </c>
      <c r="L76" s="6">
        <f>SUMIF(Ratings_Long!$A$2:$A$577,$A76,Ratings_Long!$S$2:$S$577)/COUNTIF(Ratings_Long!$A$2:$A$577,$A76)</f>
        <v>3</v>
      </c>
      <c r="M76" s="6">
        <f t="shared" si="6"/>
        <v>1.5833333333333333</v>
      </c>
      <c r="N76" s="6">
        <f t="shared" si="7"/>
        <v>1.9444444444444444</v>
      </c>
      <c r="O76" s="6">
        <f t="shared" si="8"/>
        <v>-1</v>
      </c>
    </row>
    <row r="77" spans="1:15">
      <c r="A77" t="s">
        <v>374</v>
      </c>
      <c r="B77" t="s">
        <v>160</v>
      </c>
      <c r="C77" t="s">
        <v>19</v>
      </c>
      <c r="D77" t="s">
        <v>49</v>
      </c>
      <c r="E77" t="s">
        <v>143</v>
      </c>
      <c r="F77" s="6">
        <v>-0.08</v>
      </c>
      <c r="G77" s="6">
        <f>SUMIF(Ratings_Long!$A$2:$A$577,$A77,Ratings_Long!$N$2:$N$577)/COUNTIF(Ratings_Long!$A$2:$A$577,$A77)</f>
        <v>0.33333333333333331</v>
      </c>
      <c r="H77" s="6">
        <f>SUMIF(Ratings_Long!$A$2:$A$577,$A77,Ratings_Long!$O$2:$O$577)/COUNTIF(Ratings_Long!$A$2:$A$577,$A77)</f>
        <v>2</v>
      </c>
      <c r="I77" s="6">
        <f>SUMIF(Ratings_Long!$A$2:$A$577,$A77,Ratings_Long!$P$2:$P$577)/COUNTIF(Ratings_Long!$A$2:$A$577,$A77)</f>
        <v>2.6666666666666665</v>
      </c>
      <c r="J77" s="6">
        <f>SUMIF(Ratings_Long!$A$2:$A$577,$A77,Ratings_Long!$Q$2:$Q$577)/COUNTIF(Ratings_Long!$A$2:$A$577,$A77)</f>
        <v>0.33333333333333331</v>
      </c>
      <c r="K77" s="6">
        <f>SUMIF(Ratings_Long!$A$2:$A$577,$A77,Ratings_Long!$R$2:$R$577)/COUNTIF(Ratings_Long!$A$2:$A$577,$A77)</f>
        <v>2</v>
      </c>
      <c r="L77" s="6">
        <f>SUMIF(Ratings_Long!$A$2:$A$577,$A77,Ratings_Long!$S$2:$S$577)/COUNTIF(Ratings_Long!$A$2:$A$577,$A77)</f>
        <v>2</v>
      </c>
      <c r="M77" s="6">
        <f t="shared" si="6"/>
        <v>1.3333333333333333</v>
      </c>
      <c r="N77" s="6">
        <f t="shared" si="7"/>
        <v>1.5555555555555554</v>
      </c>
      <c r="O77" s="6">
        <f t="shared" si="8"/>
        <v>-0.77777777777777779</v>
      </c>
    </row>
    <row r="78" spans="1:15">
      <c r="A78" t="s">
        <v>376</v>
      </c>
      <c r="B78" t="s">
        <v>165</v>
      </c>
      <c r="C78" t="s">
        <v>19</v>
      </c>
      <c r="D78" t="s">
        <v>49</v>
      </c>
      <c r="E78" t="s">
        <v>166</v>
      </c>
      <c r="F78" s="6">
        <v>-7.4074000000000001E-2</v>
      </c>
      <c r="G78" s="6">
        <f>SUMIF(Ratings_Long!$A$2:$A$577,$A78,Ratings_Long!$N$2:$N$577)/COUNTIF(Ratings_Long!$A$2:$A$577,$A78)</f>
        <v>0</v>
      </c>
      <c r="H78" s="6">
        <f>SUMIF(Ratings_Long!$A$2:$A$577,$A78,Ratings_Long!$O$2:$O$577)/COUNTIF(Ratings_Long!$A$2:$A$577,$A78)</f>
        <v>3</v>
      </c>
      <c r="I78" s="6">
        <f>SUMIF(Ratings_Long!$A$2:$A$577,$A78,Ratings_Long!$P$2:$P$577)/COUNTIF(Ratings_Long!$A$2:$A$577,$A78)</f>
        <v>3</v>
      </c>
      <c r="J78" s="6">
        <f>SUMIF(Ratings_Long!$A$2:$A$577,$A78,Ratings_Long!$Q$2:$Q$577)/COUNTIF(Ratings_Long!$A$2:$A$577,$A78)</f>
        <v>0.66666666666666663</v>
      </c>
      <c r="K78" s="6">
        <f>SUMIF(Ratings_Long!$A$2:$A$577,$A78,Ratings_Long!$R$2:$R$577)/COUNTIF(Ratings_Long!$A$2:$A$577,$A78)</f>
        <v>2.3333333333333335</v>
      </c>
      <c r="L78" s="6">
        <f>SUMIF(Ratings_Long!$A$2:$A$577,$A78,Ratings_Long!$S$2:$S$577)/COUNTIF(Ratings_Long!$A$2:$A$577,$A78)</f>
        <v>2.3333333333333335</v>
      </c>
      <c r="M78" s="6">
        <f t="shared" si="6"/>
        <v>1.6666666666666667</v>
      </c>
      <c r="N78" s="6">
        <f t="shared" si="7"/>
        <v>1.8888888888888891</v>
      </c>
      <c r="O78" s="6">
        <f t="shared" si="8"/>
        <v>-1</v>
      </c>
    </row>
    <row r="79" spans="1:15">
      <c r="A79" t="s">
        <v>378</v>
      </c>
      <c r="B79" t="s">
        <v>171</v>
      </c>
      <c r="C79" t="s">
        <v>19</v>
      </c>
      <c r="D79" t="s">
        <v>49</v>
      </c>
      <c r="E79" t="s">
        <v>166</v>
      </c>
      <c r="F79" s="6">
        <v>-7.6923000000000005E-2</v>
      </c>
      <c r="G79" s="6">
        <f>SUMIF(Ratings_Long!$A$2:$A$577,$A79,Ratings_Long!$N$2:$N$577)/COUNTIF(Ratings_Long!$A$2:$A$577,$A79)</f>
        <v>0.66666666666666663</v>
      </c>
      <c r="H79" s="6">
        <f>SUMIF(Ratings_Long!$A$2:$A$577,$A79,Ratings_Long!$O$2:$O$577)/COUNTIF(Ratings_Long!$A$2:$A$577,$A79)</f>
        <v>3</v>
      </c>
      <c r="I79" s="6">
        <f>SUMIF(Ratings_Long!$A$2:$A$577,$A79,Ratings_Long!$P$2:$P$577)/COUNTIF(Ratings_Long!$A$2:$A$577,$A79)</f>
        <v>3</v>
      </c>
      <c r="J79" s="6">
        <f>SUMIF(Ratings_Long!$A$2:$A$577,$A79,Ratings_Long!$Q$2:$Q$577)/COUNTIF(Ratings_Long!$A$2:$A$577,$A79)</f>
        <v>0</v>
      </c>
      <c r="K79" s="6">
        <f>SUMIF(Ratings_Long!$A$2:$A$577,$A79,Ratings_Long!$R$2:$R$577)/COUNTIF(Ratings_Long!$A$2:$A$577,$A79)</f>
        <v>3</v>
      </c>
      <c r="L79" s="6">
        <f>SUMIF(Ratings_Long!$A$2:$A$577,$A79,Ratings_Long!$S$2:$S$577)/COUNTIF(Ratings_Long!$A$2:$A$577,$A79)</f>
        <v>3</v>
      </c>
      <c r="M79" s="6">
        <f t="shared" si="6"/>
        <v>1.6666666666666665</v>
      </c>
      <c r="N79" s="6">
        <f t="shared" si="7"/>
        <v>2.1111111111111112</v>
      </c>
      <c r="O79" s="6">
        <f t="shared" si="8"/>
        <v>-0.55555555555555558</v>
      </c>
    </row>
    <row r="80" spans="1:15">
      <c r="A80" t="s">
        <v>380</v>
      </c>
      <c r="B80" t="s">
        <v>176</v>
      </c>
      <c r="C80" t="s">
        <v>19</v>
      </c>
      <c r="D80" t="s">
        <v>49</v>
      </c>
      <c r="E80" t="s">
        <v>166</v>
      </c>
      <c r="F80" s="6">
        <v>-7.6923000000000005E-2</v>
      </c>
      <c r="G80" s="6">
        <f>SUMIF(Ratings_Long!$A$2:$A$577,$A80,Ratings_Long!$N$2:$N$577)/COUNTIF(Ratings_Long!$A$2:$A$577,$A80)</f>
        <v>0.66666666666666663</v>
      </c>
      <c r="H80" s="6">
        <f>SUMIF(Ratings_Long!$A$2:$A$577,$A80,Ratings_Long!$O$2:$O$577)/COUNTIF(Ratings_Long!$A$2:$A$577,$A80)</f>
        <v>3</v>
      </c>
      <c r="I80" s="6">
        <f>SUMIF(Ratings_Long!$A$2:$A$577,$A80,Ratings_Long!$P$2:$P$577)/COUNTIF(Ratings_Long!$A$2:$A$577,$A80)</f>
        <v>3</v>
      </c>
      <c r="J80" s="6">
        <f>SUMIF(Ratings_Long!$A$2:$A$577,$A80,Ratings_Long!$Q$2:$Q$577)/COUNTIF(Ratings_Long!$A$2:$A$577,$A80)</f>
        <v>1</v>
      </c>
      <c r="K80" s="6">
        <f>SUMIF(Ratings_Long!$A$2:$A$577,$A80,Ratings_Long!$R$2:$R$577)/COUNTIF(Ratings_Long!$A$2:$A$577,$A80)</f>
        <v>2.3333333333333335</v>
      </c>
      <c r="L80" s="6">
        <f>SUMIF(Ratings_Long!$A$2:$A$577,$A80,Ratings_Long!$S$2:$S$577)/COUNTIF(Ratings_Long!$A$2:$A$577,$A80)</f>
        <v>2</v>
      </c>
      <c r="M80" s="6">
        <f t="shared" si="6"/>
        <v>1.9166666666666665</v>
      </c>
      <c r="N80" s="6">
        <f t="shared" si="7"/>
        <v>2</v>
      </c>
      <c r="O80" s="6">
        <f t="shared" si="8"/>
        <v>-0.55555555555555558</v>
      </c>
    </row>
    <row r="81" spans="1:15">
      <c r="A81" t="s">
        <v>382</v>
      </c>
      <c r="B81" t="s">
        <v>181</v>
      </c>
      <c r="C81" t="s">
        <v>19</v>
      </c>
      <c r="D81" t="s">
        <v>49</v>
      </c>
      <c r="E81" t="s">
        <v>166</v>
      </c>
      <c r="F81" s="6">
        <v>-8.3333000000000004E-2</v>
      </c>
      <c r="G81" s="6">
        <f>SUMIF(Ratings_Long!$A$2:$A$577,$A81,Ratings_Long!$N$2:$N$577)/COUNTIF(Ratings_Long!$A$2:$A$577,$A81)</f>
        <v>0.66666666666666663</v>
      </c>
      <c r="H81" s="6">
        <f>SUMIF(Ratings_Long!$A$2:$A$577,$A81,Ratings_Long!$O$2:$O$577)/COUNTIF(Ratings_Long!$A$2:$A$577,$A81)</f>
        <v>3</v>
      </c>
      <c r="I81" s="6">
        <f>SUMIF(Ratings_Long!$A$2:$A$577,$A81,Ratings_Long!$P$2:$P$577)/COUNTIF(Ratings_Long!$A$2:$A$577,$A81)</f>
        <v>3</v>
      </c>
      <c r="J81" s="6">
        <f>SUMIF(Ratings_Long!$A$2:$A$577,$A81,Ratings_Long!$Q$2:$Q$577)/COUNTIF(Ratings_Long!$A$2:$A$577,$A81)</f>
        <v>0.33333333333333331</v>
      </c>
      <c r="K81" s="6">
        <f>SUMIF(Ratings_Long!$A$2:$A$577,$A81,Ratings_Long!$R$2:$R$577)/COUNTIF(Ratings_Long!$A$2:$A$577,$A81)</f>
        <v>3</v>
      </c>
      <c r="L81" s="6">
        <f>SUMIF(Ratings_Long!$A$2:$A$577,$A81,Ratings_Long!$S$2:$S$577)/COUNTIF(Ratings_Long!$A$2:$A$577,$A81)</f>
        <v>2.3333333333333335</v>
      </c>
      <c r="M81" s="6">
        <f t="shared" si="6"/>
        <v>1.7499999999999998</v>
      </c>
      <c r="N81" s="6">
        <f t="shared" si="7"/>
        <v>2.0555555555555558</v>
      </c>
      <c r="O81" s="6">
        <f t="shared" si="8"/>
        <v>-0.55555555555555558</v>
      </c>
    </row>
    <row r="82" spans="1:15">
      <c r="A82" t="s">
        <v>384</v>
      </c>
      <c r="B82" t="s">
        <v>186</v>
      </c>
      <c r="C82" t="s">
        <v>19</v>
      </c>
      <c r="D82" t="s">
        <v>49</v>
      </c>
      <c r="E82" t="s">
        <v>187</v>
      </c>
      <c r="F82" s="6">
        <v>-6.4516000000000004E-2</v>
      </c>
      <c r="G82" s="6">
        <f>SUMIF(Ratings_Long!$A$2:$A$577,$A82,Ratings_Long!$N$2:$N$577)/COUNTIF(Ratings_Long!$A$2:$A$577,$A82)</f>
        <v>0.66666666666666663</v>
      </c>
      <c r="H82" s="6">
        <f>SUMIF(Ratings_Long!$A$2:$A$577,$A82,Ratings_Long!$O$2:$O$577)/COUNTIF(Ratings_Long!$A$2:$A$577,$A82)</f>
        <v>2</v>
      </c>
      <c r="I82" s="6">
        <f>SUMIF(Ratings_Long!$A$2:$A$577,$A82,Ratings_Long!$P$2:$P$577)/COUNTIF(Ratings_Long!$A$2:$A$577,$A82)</f>
        <v>2</v>
      </c>
      <c r="J82" s="6">
        <f>SUMIF(Ratings_Long!$A$2:$A$577,$A82,Ratings_Long!$Q$2:$Q$577)/COUNTIF(Ratings_Long!$A$2:$A$577,$A82)</f>
        <v>1.6666666666666667</v>
      </c>
      <c r="K82" s="6">
        <f>SUMIF(Ratings_Long!$A$2:$A$577,$A82,Ratings_Long!$R$2:$R$577)/COUNTIF(Ratings_Long!$A$2:$A$577,$A82)</f>
        <v>1.6666666666666667</v>
      </c>
      <c r="L82" s="6">
        <f>SUMIF(Ratings_Long!$A$2:$A$577,$A82,Ratings_Long!$S$2:$S$577)/COUNTIF(Ratings_Long!$A$2:$A$577,$A82)</f>
        <v>2</v>
      </c>
      <c r="M82" s="6">
        <f t="shared" si="6"/>
        <v>1.5833333333333333</v>
      </c>
      <c r="N82" s="6">
        <f t="shared" si="7"/>
        <v>1.6666666666666667</v>
      </c>
      <c r="O82" s="6">
        <f t="shared" si="8"/>
        <v>-0.55555555555555558</v>
      </c>
    </row>
    <row r="83" spans="1:15">
      <c r="A83" t="s">
        <v>386</v>
      </c>
      <c r="B83" t="s">
        <v>192</v>
      </c>
      <c r="C83" t="s">
        <v>19</v>
      </c>
      <c r="D83" t="s">
        <v>49</v>
      </c>
      <c r="E83" t="s">
        <v>187</v>
      </c>
      <c r="F83" s="6">
        <v>-8.6957000000000007E-2</v>
      </c>
      <c r="G83" s="6">
        <f>SUMIF(Ratings_Long!$A$2:$A$577,$A83,Ratings_Long!$N$2:$N$577)/COUNTIF(Ratings_Long!$A$2:$A$577,$A83)</f>
        <v>0</v>
      </c>
      <c r="H83" s="6">
        <f>SUMIF(Ratings_Long!$A$2:$A$577,$A83,Ratings_Long!$O$2:$O$577)/COUNTIF(Ratings_Long!$A$2:$A$577,$A83)</f>
        <v>3</v>
      </c>
      <c r="I83" s="6">
        <f>SUMIF(Ratings_Long!$A$2:$A$577,$A83,Ratings_Long!$P$2:$P$577)/COUNTIF(Ratings_Long!$A$2:$A$577,$A83)</f>
        <v>3</v>
      </c>
      <c r="J83" s="6">
        <f>SUMIF(Ratings_Long!$A$2:$A$577,$A83,Ratings_Long!$Q$2:$Q$577)/COUNTIF(Ratings_Long!$A$2:$A$577,$A83)</f>
        <v>0.33333333333333331</v>
      </c>
      <c r="K83" s="6">
        <f>SUMIF(Ratings_Long!$A$2:$A$577,$A83,Ratings_Long!$R$2:$R$577)/COUNTIF(Ratings_Long!$A$2:$A$577,$A83)</f>
        <v>2</v>
      </c>
      <c r="L83" s="6">
        <f>SUMIF(Ratings_Long!$A$2:$A$577,$A83,Ratings_Long!$S$2:$S$577)/COUNTIF(Ratings_Long!$A$2:$A$577,$A83)</f>
        <v>2</v>
      </c>
      <c r="M83" s="6">
        <f t="shared" si="6"/>
        <v>1.5833333333333333</v>
      </c>
      <c r="N83" s="6">
        <f t="shared" si="7"/>
        <v>1.7222222222222221</v>
      </c>
      <c r="O83" s="6">
        <f t="shared" si="8"/>
        <v>-1</v>
      </c>
    </row>
    <row r="84" spans="1:15">
      <c r="A84" t="s">
        <v>388</v>
      </c>
      <c r="B84" t="s">
        <v>197</v>
      </c>
      <c r="C84" t="s">
        <v>19</v>
      </c>
      <c r="D84" t="s">
        <v>49</v>
      </c>
      <c r="E84" t="s">
        <v>187</v>
      </c>
      <c r="F84" s="6">
        <v>-7.4074000000000001E-2</v>
      </c>
      <c r="G84" s="6">
        <f>SUMIF(Ratings_Long!$A$2:$A$577,$A84,Ratings_Long!$N$2:$N$577)/COUNTIF(Ratings_Long!$A$2:$A$577,$A84)</f>
        <v>1</v>
      </c>
      <c r="H84" s="6">
        <f>SUMIF(Ratings_Long!$A$2:$A$577,$A84,Ratings_Long!$O$2:$O$577)/COUNTIF(Ratings_Long!$A$2:$A$577,$A84)</f>
        <v>2</v>
      </c>
      <c r="I84" s="6">
        <f>SUMIF(Ratings_Long!$A$2:$A$577,$A84,Ratings_Long!$P$2:$P$577)/COUNTIF(Ratings_Long!$A$2:$A$577,$A84)</f>
        <v>3</v>
      </c>
      <c r="J84" s="6">
        <f>SUMIF(Ratings_Long!$A$2:$A$577,$A84,Ratings_Long!$Q$2:$Q$577)/COUNTIF(Ratings_Long!$A$2:$A$577,$A84)</f>
        <v>1.3333333333333333</v>
      </c>
      <c r="K84" s="6">
        <f>SUMIF(Ratings_Long!$A$2:$A$577,$A84,Ratings_Long!$R$2:$R$577)/COUNTIF(Ratings_Long!$A$2:$A$577,$A84)</f>
        <v>2.3333333333333335</v>
      </c>
      <c r="L84" s="6">
        <f>SUMIF(Ratings_Long!$A$2:$A$577,$A84,Ratings_Long!$S$2:$S$577)/COUNTIF(Ratings_Long!$A$2:$A$577,$A84)</f>
        <v>3</v>
      </c>
      <c r="M84" s="6">
        <f t="shared" si="6"/>
        <v>1.8333333333333333</v>
      </c>
      <c r="N84" s="6">
        <f t="shared" si="7"/>
        <v>2.1111111111111112</v>
      </c>
      <c r="O84" s="6">
        <f t="shared" si="8"/>
        <v>-0.33333333333333337</v>
      </c>
    </row>
    <row r="85" spans="1:15">
      <c r="A85" t="s">
        <v>390</v>
      </c>
      <c r="B85" t="s">
        <v>202</v>
      </c>
      <c r="C85" t="s">
        <v>19</v>
      </c>
      <c r="D85" t="s">
        <v>49</v>
      </c>
      <c r="E85" t="s">
        <v>187</v>
      </c>
      <c r="F85" s="6">
        <v>-7.4074000000000001E-2</v>
      </c>
      <c r="G85" s="6">
        <f>SUMIF(Ratings_Long!$A$2:$A$577,$A85,Ratings_Long!$N$2:$N$577)/COUNTIF(Ratings_Long!$A$2:$A$577,$A85)</f>
        <v>0.66666666666666663</v>
      </c>
      <c r="H85" s="6">
        <f>SUMIF(Ratings_Long!$A$2:$A$577,$A85,Ratings_Long!$O$2:$O$577)/COUNTIF(Ratings_Long!$A$2:$A$577,$A85)</f>
        <v>3</v>
      </c>
      <c r="I85" s="6">
        <f>SUMIF(Ratings_Long!$A$2:$A$577,$A85,Ratings_Long!$P$2:$P$577)/COUNTIF(Ratings_Long!$A$2:$A$577,$A85)</f>
        <v>3</v>
      </c>
      <c r="J85" s="6">
        <f>SUMIF(Ratings_Long!$A$2:$A$577,$A85,Ratings_Long!$Q$2:$Q$577)/COUNTIF(Ratings_Long!$A$2:$A$577,$A85)</f>
        <v>0.33333333333333331</v>
      </c>
      <c r="K85" s="6">
        <f>SUMIF(Ratings_Long!$A$2:$A$577,$A85,Ratings_Long!$R$2:$R$577)/COUNTIF(Ratings_Long!$A$2:$A$577,$A85)</f>
        <v>2.3333333333333335</v>
      </c>
      <c r="L85" s="6">
        <f>SUMIF(Ratings_Long!$A$2:$A$577,$A85,Ratings_Long!$S$2:$S$577)/COUNTIF(Ratings_Long!$A$2:$A$577,$A85)</f>
        <v>2</v>
      </c>
      <c r="M85" s="6">
        <f t="shared" si="6"/>
        <v>1.7499999999999998</v>
      </c>
      <c r="N85" s="6">
        <f t="shared" si="7"/>
        <v>1.8888888888888886</v>
      </c>
      <c r="O85" s="6">
        <f t="shared" si="8"/>
        <v>-0.55555555555555558</v>
      </c>
    </row>
    <row r="86" spans="1:15">
      <c r="A86" t="s">
        <v>392</v>
      </c>
      <c r="B86" t="s">
        <v>207</v>
      </c>
      <c r="C86" t="s">
        <v>19</v>
      </c>
      <c r="D86" t="s">
        <v>49</v>
      </c>
      <c r="E86" t="s">
        <v>208</v>
      </c>
      <c r="F86" s="6">
        <v>-7.1429000000000006E-2</v>
      </c>
      <c r="G86" s="6">
        <f>SUMIF(Ratings_Long!$A$2:$A$577,$A86,Ratings_Long!$N$2:$N$577)/COUNTIF(Ratings_Long!$A$2:$A$577,$A86)</f>
        <v>0</v>
      </c>
      <c r="H86" s="6">
        <f>SUMIF(Ratings_Long!$A$2:$A$577,$A86,Ratings_Long!$O$2:$O$577)/COUNTIF(Ratings_Long!$A$2:$A$577,$A86)</f>
        <v>2</v>
      </c>
      <c r="I86" s="6">
        <f>SUMIF(Ratings_Long!$A$2:$A$577,$A86,Ratings_Long!$P$2:$P$577)/COUNTIF(Ratings_Long!$A$2:$A$577,$A86)</f>
        <v>3</v>
      </c>
      <c r="J86" s="6">
        <f>SUMIF(Ratings_Long!$A$2:$A$577,$A86,Ratings_Long!$Q$2:$Q$577)/COUNTIF(Ratings_Long!$A$2:$A$577,$A86)</f>
        <v>0</v>
      </c>
      <c r="K86" s="6">
        <f>SUMIF(Ratings_Long!$A$2:$A$577,$A86,Ratings_Long!$R$2:$R$577)/COUNTIF(Ratings_Long!$A$2:$A$577,$A86)</f>
        <v>1</v>
      </c>
      <c r="L86" s="6">
        <f>SUMIF(Ratings_Long!$A$2:$A$577,$A86,Ratings_Long!$S$2:$S$577)/COUNTIF(Ratings_Long!$A$2:$A$577,$A86)</f>
        <v>2.3333333333333335</v>
      </c>
      <c r="M86" s="6">
        <f t="shared" si="6"/>
        <v>1.25</v>
      </c>
      <c r="N86" s="6">
        <f t="shared" si="7"/>
        <v>1.3888888888888891</v>
      </c>
      <c r="O86" s="6">
        <f t="shared" si="8"/>
        <v>-1</v>
      </c>
    </row>
    <row r="87" spans="1:15">
      <c r="A87" t="s">
        <v>394</v>
      </c>
      <c r="B87" t="s">
        <v>213</v>
      </c>
      <c r="C87" t="s">
        <v>19</v>
      </c>
      <c r="D87" t="s">
        <v>49</v>
      </c>
      <c r="E87" t="s">
        <v>208</v>
      </c>
      <c r="F87" s="6">
        <v>-0.08</v>
      </c>
      <c r="G87" s="6">
        <f>SUMIF(Ratings_Long!$A$2:$A$577,$A87,Ratings_Long!$N$2:$N$577)/COUNTIF(Ratings_Long!$A$2:$A$577,$A87)</f>
        <v>1</v>
      </c>
      <c r="H87" s="6">
        <f>SUMIF(Ratings_Long!$A$2:$A$577,$A87,Ratings_Long!$O$2:$O$577)/COUNTIF(Ratings_Long!$A$2:$A$577,$A87)</f>
        <v>2</v>
      </c>
      <c r="I87" s="6">
        <f>SUMIF(Ratings_Long!$A$2:$A$577,$A87,Ratings_Long!$P$2:$P$577)/COUNTIF(Ratings_Long!$A$2:$A$577,$A87)</f>
        <v>3</v>
      </c>
      <c r="J87" s="6">
        <f>SUMIF(Ratings_Long!$A$2:$A$577,$A87,Ratings_Long!$Q$2:$Q$577)/COUNTIF(Ratings_Long!$A$2:$A$577,$A87)</f>
        <v>1.3333333333333333</v>
      </c>
      <c r="K87" s="6">
        <f>SUMIF(Ratings_Long!$A$2:$A$577,$A87,Ratings_Long!$R$2:$R$577)/COUNTIF(Ratings_Long!$A$2:$A$577,$A87)</f>
        <v>2</v>
      </c>
      <c r="L87" s="6">
        <f>SUMIF(Ratings_Long!$A$2:$A$577,$A87,Ratings_Long!$S$2:$S$577)/COUNTIF(Ratings_Long!$A$2:$A$577,$A87)</f>
        <v>2</v>
      </c>
      <c r="M87" s="6">
        <f t="shared" si="6"/>
        <v>1.8333333333333333</v>
      </c>
      <c r="N87" s="6">
        <f t="shared" si="7"/>
        <v>1.8888888888888886</v>
      </c>
      <c r="O87" s="6">
        <f t="shared" si="8"/>
        <v>-0.33333333333333337</v>
      </c>
    </row>
    <row r="88" spans="1:15">
      <c r="A88" t="s">
        <v>396</v>
      </c>
      <c r="B88" t="s">
        <v>218</v>
      </c>
      <c r="C88" t="s">
        <v>19</v>
      </c>
      <c r="D88" t="s">
        <v>49</v>
      </c>
      <c r="E88" t="s">
        <v>208</v>
      </c>
      <c r="F88" s="6">
        <v>-0.08</v>
      </c>
      <c r="G88" s="6">
        <f>SUMIF(Ratings_Long!$A$2:$A$577,$A88,Ratings_Long!$N$2:$N$577)/COUNTIF(Ratings_Long!$A$2:$A$577,$A88)</f>
        <v>2</v>
      </c>
      <c r="H88" s="6">
        <f>SUMIF(Ratings_Long!$A$2:$A$577,$A88,Ratings_Long!$O$2:$O$577)/COUNTIF(Ratings_Long!$A$2:$A$577,$A88)</f>
        <v>2.6666666666666665</v>
      </c>
      <c r="I88" s="6">
        <f>SUMIF(Ratings_Long!$A$2:$A$577,$A88,Ratings_Long!$P$2:$P$577)/COUNTIF(Ratings_Long!$A$2:$A$577,$A88)</f>
        <v>2.3333333333333335</v>
      </c>
      <c r="J88" s="6">
        <f>SUMIF(Ratings_Long!$A$2:$A$577,$A88,Ratings_Long!$Q$2:$Q$577)/COUNTIF(Ratings_Long!$A$2:$A$577,$A88)</f>
        <v>2</v>
      </c>
      <c r="K88" s="6">
        <f>SUMIF(Ratings_Long!$A$2:$A$577,$A88,Ratings_Long!$R$2:$R$577)/COUNTIF(Ratings_Long!$A$2:$A$577,$A88)</f>
        <v>2</v>
      </c>
      <c r="L88" s="6">
        <f>SUMIF(Ratings_Long!$A$2:$A$577,$A88,Ratings_Long!$S$2:$S$577)/COUNTIF(Ratings_Long!$A$2:$A$577,$A88)</f>
        <v>2.3333333333333335</v>
      </c>
      <c r="M88" s="6">
        <f t="shared" si="6"/>
        <v>2.25</v>
      </c>
      <c r="N88" s="6">
        <f t="shared" si="7"/>
        <v>2.2222222222222223</v>
      </c>
      <c r="O88" s="6">
        <f t="shared" si="8"/>
        <v>0.33333333333333326</v>
      </c>
    </row>
    <row r="89" spans="1:15">
      <c r="A89" t="s">
        <v>398</v>
      </c>
      <c r="B89" t="s">
        <v>223</v>
      </c>
      <c r="C89" t="s">
        <v>19</v>
      </c>
      <c r="D89" t="s">
        <v>49</v>
      </c>
      <c r="E89" t="s">
        <v>208</v>
      </c>
      <c r="F89" s="6">
        <v>-7.1429000000000006E-2</v>
      </c>
      <c r="G89" s="6">
        <f>SUMIF(Ratings_Long!$A$2:$A$577,$A89,Ratings_Long!$N$2:$N$577)/COUNTIF(Ratings_Long!$A$2:$A$577,$A89)</f>
        <v>1</v>
      </c>
      <c r="H89" s="6">
        <f>SUMIF(Ratings_Long!$A$2:$A$577,$A89,Ratings_Long!$O$2:$O$577)/COUNTIF(Ratings_Long!$A$2:$A$577,$A89)</f>
        <v>3</v>
      </c>
      <c r="I89" s="6">
        <f>SUMIF(Ratings_Long!$A$2:$A$577,$A89,Ratings_Long!$P$2:$P$577)/COUNTIF(Ratings_Long!$A$2:$A$577,$A89)</f>
        <v>3</v>
      </c>
      <c r="J89" s="6">
        <f>SUMIF(Ratings_Long!$A$2:$A$577,$A89,Ratings_Long!$Q$2:$Q$577)/COUNTIF(Ratings_Long!$A$2:$A$577,$A89)</f>
        <v>1.6666666666666667</v>
      </c>
      <c r="K89" s="6">
        <f>SUMIF(Ratings_Long!$A$2:$A$577,$A89,Ratings_Long!$R$2:$R$577)/COUNTIF(Ratings_Long!$A$2:$A$577,$A89)</f>
        <v>3</v>
      </c>
      <c r="L89" s="6">
        <f>SUMIF(Ratings_Long!$A$2:$A$577,$A89,Ratings_Long!$S$2:$S$577)/COUNTIF(Ratings_Long!$A$2:$A$577,$A89)</f>
        <v>3</v>
      </c>
      <c r="M89" s="6">
        <f t="shared" si="6"/>
        <v>2.1666666666666665</v>
      </c>
      <c r="N89" s="6">
        <f t="shared" si="7"/>
        <v>2.4444444444444442</v>
      </c>
      <c r="O89" s="6">
        <f t="shared" si="8"/>
        <v>-0.33333333333333337</v>
      </c>
    </row>
    <row r="90" spans="1:15">
      <c r="A90" t="s">
        <v>400</v>
      </c>
      <c r="B90" t="s">
        <v>228</v>
      </c>
      <c r="C90" t="s">
        <v>19</v>
      </c>
      <c r="D90" t="s">
        <v>49</v>
      </c>
      <c r="E90" t="s">
        <v>229</v>
      </c>
      <c r="F90" s="6">
        <v>-8.3333000000000004E-2</v>
      </c>
      <c r="G90" s="6">
        <f>SUMIF(Ratings_Long!$A$2:$A$577,$A90,Ratings_Long!$N$2:$N$577)/COUNTIF(Ratings_Long!$A$2:$A$577,$A90)</f>
        <v>1</v>
      </c>
      <c r="H90" s="6">
        <f>SUMIF(Ratings_Long!$A$2:$A$577,$A90,Ratings_Long!$O$2:$O$577)/COUNTIF(Ratings_Long!$A$2:$A$577,$A90)</f>
        <v>2.3333333333333335</v>
      </c>
      <c r="I90" s="6">
        <f>SUMIF(Ratings_Long!$A$2:$A$577,$A90,Ratings_Long!$P$2:$P$577)/COUNTIF(Ratings_Long!$A$2:$A$577,$A90)</f>
        <v>2.6666666666666665</v>
      </c>
      <c r="J90" s="6">
        <f>SUMIF(Ratings_Long!$A$2:$A$577,$A90,Ratings_Long!$Q$2:$Q$577)/COUNTIF(Ratings_Long!$A$2:$A$577,$A90)</f>
        <v>1</v>
      </c>
      <c r="K90" s="6">
        <f>SUMIF(Ratings_Long!$A$2:$A$577,$A90,Ratings_Long!$R$2:$R$577)/COUNTIF(Ratings_Long!$A$2:$A$577,$A90)</f>
        <v>2</v>
      </c>
      <c r="L90" s="6">
        <f>SUMIF(Ratings_Long!$A$2:$A$577,$A90,Ratings_Long!$S$2:$S$577)/COUNTIF(Ratings_Long!$A$2:$A$577,$A90)</f>
        <v>2</v>
      </c>
      <c r="M90" s="6">
        <f t="shared" si="6"/>
        <v>1.75</v>
      </c>
      <c r="N90" s="6">
        <f t="shared" si="7"/>
        <v>1.8333333333333333</v>
      </c>
      <c r="O90" s="6">
        <f t="shared" si="8"/>
        <v>-0.33333333333333337</v>
      </c>
    </row>
    <row r="91" spans="1:15">
      <c r="A91" t="s">
        <v>402</v>
      </c>
      <c r="B91" t="s">
        <v>234</v>
      </c>
      <c r="C91" t="s">
        <v>19</v>
      </c>
      <c r="D91" t="s">
        <v>49</v>
      </c>
      <c r="E91" t="s">
        <v>229</v>
      </c>
      <c r="F91" s="6">
        <v>-6.6667000000000004E-2</v>
      </c>
      <c r="G91" s="6">
        <f>SUMIF(Ratings_Long!$A$2:$A$577,$A91,Ratings_Long!$N$2:$N$577)/COUNTIF(Ratings_Long!$A$2:$A$577,$A91)</f>
        <v>0.66666666666666663</v>
      </c>
      <c r="H91" s="6">
        <f>SUMIF(Ratings_Long!$A$2:$A$577,$A91,Ratings_Long!$O$2:$O$577)/COUNTIF(Ratings_Long!$A$2:$A$577,$A91)</f>
        <v>2.6666666666666665</v>
      </c>
      <c r="I91" s="6">
        <f>SUMIF(Ratings_Long!$A$2:$A$577,$A91,Ratings_Long!$P$2:$P$577)/COUNTIF(Ratings_Long!$A$2:$A$577,$A91)</f>
        <v>2</v>
      </c>
      <c r="J91" s="6">
        <f>SUMIF(Ratings_Long!$A$2:$A$577,$A91,Ratings_Long!$Q$2:$Q$577)/COUNTIF(Ratings_Long!$A$2:$A$577,$A91)</f>
        <v>0.33333333333333331</v>
      </c>
      <c r="K91" s="6">
        <f>SUMIF(Ratings_Long!$A$2:$A$577,$A91,Ratings_Long!$R$2:$R$577)/COUNTIF(Ratings_Long!$A$2:$A$577,$A91)</f>
        <v>2</v>
      </c>
      <c r="L91" s="6">
        <f>SUMIF(Ratings_Long!$A$2:$A$577,$A91,Ratings_Long!$S$2:$S$577)/COUNTIF(Ratings_Long!$A$2:$A$577,$A91)</f>
        <v>2.3333333333333335</v>
      </c>
      <c r="M91" s="6">
        <f t="shared" si="6"/>
        <v>1.4166666666666665</v>
      </c>
      <c r="N91" s="6">
        <f t="shared" si="7"/>
        <v>1.6666666666666667</v>
      </c>
      <c r="O91" s="6">
        <f t="shared" si="8"/>
        <v>-0.55555555555555558</v>
      </c>
    </row>
    <row r="92" spans="1:15">
      <c r="A92" t="s">
        <v>404</v>
      </c>
      <c r="B92" t="s">
        <v>239</v>
      </c>
      <c r="C92" t="s">
        <v>19</v>
      </c>
      <c r="D92" t="s">
        <v>49</v>
      </c>
      <c r="E92" t="s">
        <v>229</v>
      </c>
      <c r="F92" s="6">
        <v>-7.1429000000000006E-2</v>
      </c>
      <c r="G92" s="6">
        <f>SUMIF(Ratings_Long!$A$2:$A$577,$A92,Ratings_Long!$N$2:$N$577)/COUNTIF(Ratings_Long!$A$2:$A$577,$A92)</f>
        <v>1.3333333333333333</v>
      </c>
      <c r="H92" s="6">
        <f>SUMIF(Ratings_Long!$A$2:$A$577,$A92,Ratings_Long!$O$2:$O$577)/COUNTIF(Ratings_Long!$A$2:$A$577,$A92)</f>
        <v>2</v>
      </c>
      <c r="I92" s="6">
        <f>SUMIF(Ratings_Long!$A$2:$A$577,$A92,Ratings_Long!$P$2:$P$577)/COUNTIF(Ratings_Long!$A$2:$A$577,$A92)</f>
        <v>2.6666666666666665</v>
      </c>
      <c r="J92" s="6">
        <f>SUMIF(Ratings_Long!$A$2:$A$577,$A92,Ratings_Long!$Q$2:$Q$577)/COUNTIF(Ratings_Long!$A$2:$A$577,$A92)</f>
        <v>0.66666666666666663</v>
      </c>
      <c r="K92" s="6">
        <f>SUMIF(Ratings_Long!$A$2:$A$577,$A92,Ratings_Long!$R$2:$R$577)/COUNTIF(Ratings_Long!$A$2:$A$577,$A92)</f>
        <v>2</v>
      </c>
      <c r="L92" s="6">
        <f>SUMIF(Ratings_Long!$A$2:$A$577,$A92,Ratings_Long!$S$2:$S$577)/COUNTIF(Ratings_Long!$A$2:$A$577,$A92)</f>
        <v>2</v>
      </c>
      <c r="M92" s="6">
        <f t="shared" si="6"/>
        <v>1.6666666666666667</v>
      </c>
      <c r="N92" s="6">
        <f t="shared" si="7"/>
        <v>1.7777777777777779</v>
      </c>
      <c r="O92" s="6">
        <f t="shared" si="8"/>
        <v>-0.11111111111111116</v>
      </c>
    </row>
    <row r="93" spans="1:15">
      <c r="A93" t="s">
        <v>406</v>
      </c>
      <c r="B93" t="s">
        <v>244</v>
      </c>
      <c r="C93" t="s">
        <v>19</v>
      </c>
      <c r="D93" t="s">
        <v>49</v>
      </c>
      <c r="E93" t="s">
        <v>229</v>
      </c>
      <c r="F93" s="6">
        <v>-8.3333000000000004E-2</v>
      </c>
      <c r="G93" s="6">
        <f>SUMIF(Ratings_Long!$A$2:$A$577,$A93,Ratings_Long!$N$2:$N$577)/COUNTIF(Ratings_Long!$A$2:$A$577,$A93)</f>
        <v>0.33333333333333331</v>
      </c>
      <c r="H93" s="6">
        <f>SUMIF(Ratings_Long!$A$2:$A$577,$A93,Ratings_Long!$O$2:$O$577)/COUNTIF(Ratings_Long!$A$2:$A$577,$A93)</f>
        <v>3</v>
      </c>
      <c r="I93" s="6">
        <f>SUMIF(Ratings_Long!$A$2:$A$577,$A93,Ratings_Long!$P$2:$P$577)/COUNTIF(Ratings_Long!$A$2:$A$577,$A93)</f>
        <v>3</v>
      </c>
      <c r="J93" s="6">
        <f>SUMIF(Ratings_Long!$A$2:$A$577,$A93,Ratings_Long!$Q$2:$Q$577)/COUNTIF(Ratings_Long!$A$2:$A$577,$A93)</f>
        <v>1</v>
      </c>
      <c r="K93" s="6">
        <f>SUMIF(Ratings_Long!$A$2:$A$577,$A93,Ratings_Long!$R$2:$R$577)/COUNTIF(Ratings_Long!$A$2:$A$577,$A93)</f>
        <v>2.3333333333333335</v>
      </c>
      <c r="L93" s="6">
        <f>SUMIF(Ratings_Long!$A$2:$A$577,$A93,Ratings_Long!$S$2:$S$577)/COUNTIF(Ratings_Long!$A$2:$A$577,$A93)</f>
        <v>3</v>
      </c>
      <c r="M93" s="6">
        <f t="shared" si="6"/>
        <v>1.8333333333333335</v>
      </c>
      <c r="N93" s="6">
        <f t="shared" si="7"/>
        <v>2.1111111111111112</v>
      </c>
      <c r="O93" s="6">
        <f t="shared" si="8"/>
        <v>-0.77777777777777779</v>
      </c>
    </row>
    <row r="94" spans="1:15">
      <c r="A94" t="s">
        <v>408</v>
      </c>
      <c r="B94" t="s">
        <v>249</v>
      </c>
      <c r="C94" t="s">
        <v>19</v>
      </c>
      <c r="D94" t="s">
        <v>49</v>
      </c>
      <c r="E94" t="s">
        <v>250</v>
      </c>
      <c r="F94" s="6">
        <v>-8.6957000000000007E-2</v>
      </c>
      <c r="G94" s="6">
        <f>SUMIF(Ratings_Long!$A$2:$A$577,$A94,Ratings_Long!$N$2:$N$577)/COUNTIF(Ratings_Long!$A$2:$A$577,$A94)</f>
        <v>0</v>
      </c>
      <c r="H94" s="6">
        <f>SUMIF(Ratings_Long!$A$2:$A$577,$A94,Ratings_Long!$O$2:$O$577)/COUNTIF(Ratings_Long!$A$2:$A$577,$A94)</f>
        <v>3</v>
      </c>
      <c r="I94" s="6">
        <f>SUMIF(Ratings_Long!$A$2:$A$577,$A94,Ratings_Long!$P$2:$P$577)/COUNTIF(Ratings_Long!$A$2:$A$577,$A94)</f>
        <v>2</v>
      </c>
      <c r="J94" s="6">
        <f>SUMIF(Ratings_Long!$A$2:$A$577,$A94,Ratings_Long!$Q$2:$Q$577)/COUNTIF(Ratings_Long!$A$2:$A$577,$A94)</f>
        <v>0</v>
      </c>
      <c r="K94" s="6">
        <f>SUMIF(Ratings_Long!$A$2:$A$577,$A94,Ratings_Long!$R$2:$R$577)/COUNTIF(Ratings_Long!$A$2:$A$577,$A94)</f>
        <v>2</v>
      </c>
      <c r="L94" s="6">
        <f>SUMIF(Ratings_Long!$A$2:$A$577,$A94,Ratings_Long!$S$2:$S$577)/COUNTIF(Ratings_Long!$A$2:$A$577,$A94)</f>
        <v>3</v>
      </c>
      <c r="M94" s="6">
        <f t="shared" si="6"/>
        <v>1.25</v>
      </c>
      <c r="N94" s="6">
        <f t="shared" si="7"/>
        <v>1.6666666666666667</v>
      </c>
      <c r="O94" s="6">
        <f t="shared" si="8"/>
        <v>-1</v>
      </c>
    </row>
    <row r="95" spans="1:15">
      <c r="A95" t="s">
        <v>410</v>
      </c>
      <c r="B95" t="s">
        <v>255</v>
      </c>
      <c r="C95" t="s">
        <v>19</v>
      </c>
      <c r="D95" t="s">
        <v>49</v>
      </c>
      <c r="E95" t="s">
        <v>250</v>
      </c>
      <c r="F95" s="6">
        <v>-7.1429000000000006E-2</v>
      </c>
      <c r="G95" s="6">
        <f>SUMIF(Ratings_Long!$A$2:$A$577,$A95,Ratings_Long!$N$2:$N$577)/COUNTIF(Ratings_Long!$A$2:$A$577,$A95)</f>
        <v>0</v>
      </c>
      <c r="H95" s="6">
        <f>SUMIF(Ratings_Long!$A$2:$A$577,$A95,Ratings_Long!$O$2:$O$577)/COUNTIF(Ratings_Long!$A$2:$A$577,$A95)</f>
        <v>2</v>
      </c>
      <c r="I95" s="6">
        <f>SUMIF(Ratings_Long!$A$2:$A$577,$A95,Ratings_Long!$P$2:$P$577)/COUNTIF(Ratings_Long!$A$2:$A$577,$A95)</f>
        <v>2.6666666666666665</v>
      </c>
      <c r="J95" s="6">
        <f>SUMIF(Ratings_Long!$A$2:$A$577,$A95,Ratings_Long!$Q$2:$Q$577)/COUNTIF(Ratings_Long!$A$2:$A$577,$A95)</f>
        <v>0.33333333333333331</v>
      </c>
      <c r="K95" s="6">
        <f>SUMIF(Ratings_Long!$A$2:$A$577,$A95,Ratings_Long!$R$2:$R$577)/COUNTIF(Ratings_Long!$A$2:$A$577,$A95)</f>
        <v>2</v>
      </c>
      <c r="L95" s="6">
        <f>SUMIF(Ratings_Long!$A$2:$A$577,$A95,Ratings_Long!$S$2:$S$577)/COUNTIF(Ratings_Long!$A$2:$A$577,$A95)</f>
        <v>3</v>
      </c>
      <c r="M95" s="6">
        <f t="shared" si="6"/>
        <v>1.2499999999999998</v>
      </c>
      <c r="N95" s="6">
        <f t="shared" si="7"/>
        <v>1.6666666666666667</v>
      </c>
      <c r="O95" s="6">
        <f t="shared" si="8"/>
        <v>-1</v>
      </c>
    </row>
    <row r="96" spans="1:15">
      <c r="A96" t="s">
        <v>412</v>
      </c>
      <c r="B96" t="s">
        <v>260</v>
      </c>
      <c r="C96" t="s">
        <v>19</v>
      </c>
      <c r="D96" t="s">
        <v>49</v>
      </c>
      <c r="E96" t="s">
        <v>250</v>
      </c>
      <c r="F96" s="6">
        <v>-8.6957000000000007E-2</v>
      </c>
      <c r="G96" s="6">
        <f>SUMIF(Ratings_Long!$A$2:$A$577,$A96,Ratings_Long!$N$2:$N$577)/COUNTIF(Ratings_Long!$A$2:$A$577,$A96)</f>
        <v>0.33333333333333331</v>
      </c>
      <c r="H96" s="6">
        <f>SUMIF(Ratings_Long!$A$2:$A$577,$A96,Ratings_Long!$O$2:$O$577)/COUNTIF(Ratings_Long!$A$2:$A$577,$A96)</f>
        <v>2.6666666666666665</v>
      </c>
      <c r="I96" s="6">
        <f>SUMIF(Ratings_Long!$A$2:$A$577,$A96,Ratings_Long!$P$2:$P$577)/COUNTIF(Ratings_Long!$A$2:$A$577,$A96)</f>
        <v>3</v>
      </c>
      <c r="J96" s="6">
        <f>SUMIF(Ratings_Long!$A$2:$A$577,$A96,Ratings_Long!$Q$2:$Q$577)/COUNTIF(Ratings_Long!$A$2:$A$577,$A96)</f>
        <v>1</v>
      </c>
      <c r="K96" s="6">
        <f>SUMIF(Ratings_Long!$A$2:$A$577,$A96,Ratings_Long!$R$2:$R$577)/COUNTIF(Ratings_Long!$A$2:$A$577,$A96)</f>
        <v>3</v>
      </c>
      <c r="L96" s="6">
        <f>SUMIF(Ratings_Long!$A$2:$A$577,$A96,Ratings_Long!$S$2:$S$577)/COUNTIF(Ratings_Long!$A$2:$A$577,$A96)</f>
        <v>2</v>
      </c>
      <c r="M96" s="6">
        <f t="shared" si="6"/>
        <v>1.75</v>
      </c>
      <c r="N96" s="6">
        <f t="shared" si="7"/>
        <v>2</v>
      </c>
      <c r="O96" s="6">
        <f t="shared" si="8"/>
        <v>-0.77777777777777779</v>
      </c>
    </row>
    <row r="97" spans="1:15">
      <c r="A97" t="s">
        <v>414</v>
      </c>
      <c r="B97" t="s">
        <v>265</v>
      </c>
      <c r="C97" t="s">
        <v>19</v>
      </c>
      <c r="D97" t="s">
        <v>49</v>
      </c>
      <c r="E97" t="s">
        <v>250</v>
      </c>
      <c r="F97" s="6">
        <v>-7.1429000000000006E-2</v>
      </c>
      <c r="G97" s="6">
        <f>SUMIF(Ratings_Long!$A$2:$A$577,$A97,Ratings_Long!$N$2:$N$577)/COUNTIF(Ratings_Long!$A$2:$A$577,$A97)</f>
        <v>1</v>
      </c>
      <c r="H97" s="6">
        <f>SUMIF(Ratings_Long!$A$2:$A$577,$A97,Ratings_Long!$O$2:$O$577)/COUNTIF(Ratings_Long!$A$2:$A$577,$A97)</f>
        <v>3</v>
      </c>
      <c r="I97" s="6">
        <f>SUMIF(Ratings_Long!$A$2:$A$577,$A97,Ratings_Long!$P$2:$P$577)/COUNTIF(Ratings_Long!$A$2:$A$577,$A97)</f>
        <v>2.6666666666666665</v>
      </c>
      <c r="J97" s="6">
        <f>SUMIF(Ratings_Long!$A$2:$A$577,$A97,Ratings_Long!$Q$2:$Q$577)/COUNTIF(Ratings_Long!$A$2:$A$577,$A97)</f>
        <v>0.66666666666666663</v>
      </c>
      <c r="K97" s="6">
        <f>SUMIF(Ratings_Long!$A$2:$A$577,$A97,Ratings_Long!$R$2:$R$577)/COUNTIF(Ratings_Long!$A$2:$A$577,$A97)</f>
        <v>2.6666666666666665</v>
      </c>
      <c r="L97" s="6">
        <f>SUMIF(Ratings_Long!$A$2:$A$577,$A97,Ratings_Long!$S$2:$S$577)/COUNTIF(Ratings_Long!$A$2:$A$577,$A97)</f>
        <v>2.3333333333333335</v>
      </c>
      <c r="M97" s="6">
        <f t="shared" si="6"/>
        <v>1.8333333333333333</v>
      </c>
      <c r="N97" s="6">
        <f t="shared" si="7"/>
        <v>2.0555555555555558</v>
      </c>
      <c r="O97" s="6">
        <f t="shared" si="8"/>
        <v>-0.33333333333333337</v>
      </c>
    </row>
    <row r="98" spans="1:15">
      <c r="A98" t="s">
        <v>416</v>
      </c>
      <c r="B98" t="s">
        <v>142</v>
      </c>
      <c r="C98" t="s">
        <v>20</v>
      </c>
      <c r="D98" t="s">
        <v>51</v>
      </c>
      <c r="E98" t="s">
        <v>143</v>
      </c>
      <c r="F98" s="6">
        <v>-3.4483E-2</v>
      </c>
      <c r="G98" s="6">
        <f>SUMIF(Ratings_Long!$A$2:$A$577,$A98,Ratings_Long!$N$2:$N$577)/COUNTIF(Ratings_Long!$A$2:$A$577,$A98)</f>
        <v>2</v>
      </c>
      <c r="H98" s="6">
        <f>SUMIF(Ratings_Long!$A$2:$A$577,$A98,Ratings_Long!$O$2:$O$577)/COUNTIF(Ratings_Long!$A$2:$A$577,$A98)</f>
        <v>3</v>
      </c>
      <c r="I98" s="6">
        <f>SUMIF(Ratings_Long!$A$2:$A$577,$A98,Ratings_Long!$P$2:$P$577)/COUNTIF(Ratings_Long!$A$2:$A$577,$A98)</f>
        <v>3</v>
      </c>
      <c r="J98" s="6">
        <f>SUMIF(Ratings_Long!$A$2:$A$577,$A98,Ratings_Long!$Q$2:$Q$577)/COUNTIF(Ratings_Long!$A$2:$A$577,$A98)</f>
        <v>2</v>
      </c>
      <c r="K98" s="6">
        <f>SUMIF(Ratings_Long!$A$2:$A$577,$A98,Ratings_Long!$R$2:$R$577)/COUNTIF(Ratings_Long!$A$2:$A$577,$A98)</f>
        <v>2.3333333333333335</v>
      </c>
      <c r="L98" s="6">
        <f>SUMIF(Ratings_Long!$A$2:$A$577,$A98,Ratings_Long!$S$2:$S$577)/COUNTIF(Ratings_Long!$A$2:$A$577,$A98)</f>
        <v>2</v>
      </c>
      <c r="M98" s="6">
        <f t="shared" ref="M98:M129" si="9">AVERAGE(G98:J98)</f>
        <v>2.5</v>
      </c>
      <c r="N98" s="6">
        <f t="shared" ref="N98:N129" si="10">AVERAGE(G98:L98)</f>
        <v>2.3888888888888888</v>
      </c>
      <c r="O98" s="6">
        <f t="shared" ref="O98:O129" si="11">(G98/3)*2-1</f>
        <v>0.33333333333333326</v>
      </c>
    </row>
    <row r="99" spans="1:15">
      <c r="A99" t="s">
        <v>419</v>
      </c>
      <c r="B99" t="s">
        <v>149</v>
      </c>
      <c r="C99" t="s">
        <v>20</v>
      </c>
      <c r="D99" t="s">
        <v>51</v>
      </c>
      <c r="E99" t="s">
        <v>143</v>
      </c>
      <c r="F99" s="6">
        <v>-3.3333000000000002E-2</v>
      </c>
      <c r="G99" s="6">
        <f>SUMIF(Ratings_Long!$A$2:$A$577,$A99,Ratings_Long!$N$2:$N$577)/COUNTIF(Ratings_Long!$A$2:$A$577,$A99)</f>
        <v>1</v>
      </c>
      <c r="H99" s="6">
        <f>SUMIF(Ratings_Long!$A$2:$A$577,$A99,Ratings_Long!$O$2:$O$577)/COUNTIF(Ratings_Long!$A$2:$A$577,$A99)</f>
        <v>2</v>
      </c>
      <c r="I99" s="6">
        <f>SUMIF(Ratings_Long!$A$2:$A$577,$A99,Ratings_Long!$P$2:$P$577)/COUNTIF(Ratings_Long!$A$2:$A$577,$A99)</f>
        <v>3</v>
      </c>
      <c r="J99" s="6">
        <f>SUMIF(Ratings_Long!$A$2:$A$577,$A99,Ratings_Long!$Q$2:$Q$577)/COUNTIF(Ratings_Long!$A$2:$A$577,$A99)</f>
        <v>1</v>
      </c>
      <c r="K99" s="6">
        <f>SUMIF(Ratings_Long!$A$2:$A$577,$A99,Ratings_Long!$R$2:$R$577)/COUNTIF(Ratings_Long!$A$2:$A$577,$A99)</f>
        <v>2</v>
      </c>
      <c r="L99" s="6">
        <f>SUMIF(Ratings_Long!$A$2:$A$577,$A99,Ratings_Long!$S$2:$S$577)/COUNTIF(Ratings_Long!$A$2:$A$577,$A99)</f>
        <v>2.6666666666666665</v>
      </c>
      <c r="M99" s="6">
        <f t="shared" si="9"/>
        <v>1.75</v>
      </c>
      <c r="N99" s="6">
        <f t="shared" si="10"/>
        <v>1.9444444444444444</v>
      </c>
      <c r="O99" s="6">
        <f t="shared" si="11"/>
        <v>-0.33333333333333337</v>
      </c>
    </row>
    <row r="100" spans="1:15">
      <c r="A100" t="s">
        <v>421</v>
      </c>
      <c r="B100" t="s">
        <v>154</v>
      </c>
      <c r="C100" t="s">
        <v>20</v>
      </c>
      <c r="D100" t="s">
        <v>51</v>
      </c>
      <c r="E100" t="s">
        <v>143</v>
      </c>
      <c r="F100" s="6">
        <v>-0.04</v>
      </c>
      <c r="G100" s="6">
        <f>SUMIF(Ratings_Long!$A$2:$A$577,$A100,Ratings_Long!$N$2:$N$577)/COUNTIF(Ratings_Long!$A$2:$A$577,$A100)</f>
        <v>1</v>
      </c>
      <c r="H100" s="6">
        <f>SUMIF(Ratings_Long!$A$2:$A$577,$A100,Ratings_Long!$O$2:$O$577)/COUNTIF(Ratings_Long!$A$2:$A$577,$A100)</f>
        <v>3</v>
      </c>
      <c r="I100" s="6">
        <f>SUMIF(Ratings_Long!$A$2:$A$577,$A100,Ratings_Long!$P$2:$P$577)/COUNTIF(Ratings_Long!$A$2:$A$577,$A100)</f>
        <v>3</v>
      </c>
      <c r="J100" s="6">
        <f>SUMIF(Ratings_Long!$A$2:$A$577,$A100,Ratings_Long!$Q$2:$Q$577)/COUNTIF(Ratings_Long!$A$2:$A$577,$A100)</f>
        <v>1</v>
      </c>
      <c r="K100" s="6">
        <f>SUMIF(Ratings_Long!$A$2:$A$577,$A100,Ratings_Long!$R$2:$R$577)/COUNTIF(Ratings_Long!$A$2:$A$577,$A100)</f>
        <v>3</v>
      </c>
      <c r="L100" s="6">
        <f>SUMIF(Ratings_Long!$A$2:$A$577,$A100,Ratings_Long!$S$2:$S$577)/COUNTIF(Ratings_Long!$A$2:$A$577,$A100)</f>
        <v>2.6666666666666665</v>
      </c>
      <c r="M100" s="6">
        <f t="shared" si="9"/>
        <v>2</v>
      </c>
      <c r="N100" s="6">
        <f t="shared" si="10"/>
        <v>2.2777777777777777</v>
      </c>
      <c r="O100" s="6">
        <f t="shared" si="11"/>
        <v>-0.33333333333333337</v>
      </c>
    </row>
    <row r="101" spans="1:15">
      <c r="A101" t="s">
        <v>423</v>
      </c>
      <c r="B101" t="s">
        <v>160</v>
      </c>
      <c r="C101" t="s">
        <v>20</v>
      </c>
      <c r="D101" t="s">
        <v>51</v>
      </c>
      <c r="E101" t="s">
        <v>143</v>
      </c>
      <c r="F101" s="6">
        <v>-3.4483E-2</v>
      </c>
      <c r="G101" s="6">
        <f>SUMIF(Ratings_Long!$A$2:$A$577,$A101,Ratings_Long!$N$2:$N$577)/COUNTIF(Ratings_Long!$A$2:$A$577,$A101)</f>
        <v>0.33333333333333331</v>
      </c>
      <c r="H101" s="6">
        <f>SUMIF(Ratings_Long!$A$2:$A$577,$A101,Ratings_Long!$O$2:$O$577)/COUNTIF(Ratings_Long!$A$2:$A$577,$A101)</f>
        <v>1.6666666666666667</v>
      </c>
      <c r="I101" s="6">
        <f>SUMIF(Ratings_Long!$A$2:$A$577,$A101,Ratings_Long!$P$2:$P$577)/COUNTIF(Ratings_Long!$A$2:$A$577,$A101)</f>
        <v>2</v>
      </c>
      <c r="J101" s="6">
        <f>SUMIF(Ratings_Long!$A$2:$A$577,$A101,Ratings_Long!$Q$2:$Q$577)/COUNTIF(Ratings_Long!$A$2:$A$577,$A101)</f>
        <v>1</v>
      </c>
      <c r="K101" s="6">
        <f>SUMIF(Ratings_Long!$A$2:$A$577,$A101,Ratings_Long!$R$2:$R$577)/COUNTIF(Ratings_Long!$A$2:$A$577,$A101)</f>
        <v>1</v>
      </c>
      <c r="L101" s="6">
        <f>SUMIF(Ratings_Long!$A$2:$A$577,$A101,Ratings_Long!$S$2:$S$577)/COUNTIF(Ratings_Long!$A$2:$A$577,$A101)</f>
        <v>2</v>
      </c>
      <c r="M101" s="6">
        <f t="shared" si="9"/>
        <v>1.25</v>
      </c>
      <c r="N101" s="6">
        <f t="shared" si="10"/>
        <v>1.3333333333333333</v>
      </c>
      <c r="O101" s="6">
        <f t="shared" si="11"/>
        <v>-0.77777777777777779</v>
      </c>
    </row>
    <row r="102" spans="1:15">
      <c r="A102" t="s">
        <v>425</v>
      </c>
      <c r="B102" t="s">
        <v>165</v>
      </c>
      <c r="C102" t="s">
        <v>20</v>
      </c>
      <c r="D102" t="s">
        <v>51</v>
      </c>
      <c r="E102" t="s">
        <v>166</v>
      </c>
      <c r="F102" s="6">
        <v>-3.3333000000000002E-2</v>
      </c>
      <c r="G102" s="6">
        <f>SUMIF(Ratings_Long!$A$2:$A$577,$A102,Ratings_Long!$N$2:$N$577)/COUNTIF(Ratings_Long!$A$2:$A$577,$A102)</f>
        <v>1</v>
      </c>
      <c r="H102" s="6">
        <f>SUMIF(Ratings_Long!$A$2:$A$577,$A102,Ratings_Long!$O$2:$O$577)/COUNTIF(Ratings_Long!$A$2:$A$577,$A102)</f>
        <v>3</v>
      </c>
      <c r="I102" s="6">
        <f>SUMIF(Ratings_Long!$A$2:$A$577,$A102,Ratings_Long!$P$2:$P$577)/COUNTIF(Ratings_Long!$A$2:$A$577,$A102)</f>
        <v>2</v>
      </c>
      <c r="J102" s="6">
        <f>SUMIF(Ratings_Long!$A$2:$A$577,$A102,Ratings_Long!$Q$2:$Q$577)/COUNTIF(Ratings_Long!$A$2:$A$577,$A102)</f>
        <v>1.6666666666666667</v>
      </c>
      <c r="K102" s="6">
        <f>SUMIF(Ratings_Long!$A$2:$A$577,$A102,Ratings_Long!$R$2:$R$577)/COUNTIF(Ratings_Long!$A$2:$A$577,$A102)</f>
        <v>3</v>
      </c>
      <c r="L102" s="6">
        <f>SUMIF(Ratings_Long!$A$2:$A$577,$A102,Ratings_Long!$S$2:$S$577)/COUNTIF(Ratings_Long!$A$2:$A$577,$A102)</f>
        <v>2.6666666666666665</v>
      </c>
      <c r="M102" s="6">
        <f t="shared" si="9"/>
        <v>1.9166666666666667</v>
      </c>
      <c r="N102" s="6">
        <f t="shared" si="10"/>
        <v>2.2222222222222223</v>
      </c>
      <c r="O102" s="6">
        <f t="shared" si="11"/>
        <v>-0.33333333333333337</v>
      </c>
    </row>
    <row r="103" spans="1:15">
      <c r="A103" t="s">
        <v>427</v>
      </c>
      <c r="B103" t="s">
        <v>171</v>
      </c>
      <c r="C103" t="s">
        <v>20</v>
      </c>
      <c r="D103" t="s">
        <v>51</v>
      </c>
      <c r="E103" t="s">
        <v>166</v>
      </c>
      <c r="F103" s="6">
        <v>-3.4483E-2</v>
      </c>
      <c r="G103" s="6">
        <f>SUMIF(Ratings_Long!$A$2:$A$577,$A103,Ratings_Long!$N$2:$N$577)/COUNTIF(Ratings_Long!$A$2:$A$577,$A103)</f>
        <v>0.66666666666666663</v>
      </c>
      <c r="H103" s="6">
        <f>SUMIF(Ratings_Long!$A$2:$A$577,$A103,Ratings_Long!$O$2:$O$577)/COUNTIF(Ratings_Long!$A$2:$A$577,$A103)</f>
        <v>2.6666666666666665</v>
      </c>
      <c r="I103" s="6">
        <f>SUMIF(Ratings_Long!$A$2:$A$577,$A103,Ratings_Long!$P$2:$P$577)/COUNTIF(Ratings_Long!$A$2:$A$577,$A103)</f>
        <v>3</v>
      </c>
      <c r="J103" s="6">
        <f>SUMIF(Ratings_Long!$A$2:$A$577,$A103,Ratings_Long!$Q$2:$Q$577)/COUNTIF(Ratings_Long!$A$2:$A$577,$A103)</f>
        <v>0.66666666666666663</v>
      </c>
      <c r="K103" s="6">
        <f>SUMIF(Ratings_Long!$A$2:$A$577,$A103,Ratings_Long!$R$2:$R$577)/COUNTIF(Ratings_Long!$A$2:$A$577,$A103)</f>
        <v>3</v>
      </c>
      <c r="L103" s="6">
        <f>SUMIF(Ratings_Long!$A$2:$A$577,$A103,Ratings_Long!$S$2:$S$577)/COUNTIF(Ratings_Long!$A$2:$A$577,$A103)</f>
        <v>3</v>
      </c>
      <c r="M103" s="6">
        <f t="shared" si="9"/>
        <v>1.75</v>
      </c>
      <c r="N103" s="6">
        <f t="shared" si="10"/>
        <v>2.1666666666666665</v>
      </c>
      <c r="O103" s="6">
        <f t="shared" si="11"/>
        <v>-0.55555555555555558</v>
      </c>
    </row>
    <row r="104" spans="1:15">
      <c r="A104" t="s">
        <v>429</v>
      </c>
      <c r="B104" t="s">
        <v>176</v>
      </c>
      <c r="C104" t="s">
        <v>20</v>
      </c>
      <c r="D104" t="s">
        <v>51</v>
      </c>
      <c r="E104" t="s">
        <v>166</v>
      </c>
      <c r="F104" s="6">
        <v>-3.4483E-2</v>
      </c>
      <c r="G104" s="6">
        <f>SUMIF(Ratings_Long!$A$2:$A$577,$A104,Ratings_Long!$N$2:$N$577)/COUNTIF(Ratings_Long!$A$2:$A$577,$A104)</f>
        <v>1.3333333333333333</v>
      </c>
      <c r="H104" s="6">
        <f>SUMIF(Ratings_Long!$A$2:$A$577,$A104,Ratings_Long!$O$2:$O$577)/COUNTIF(Ratings_Long!$A$2:$A$577,$A104)</f>
        <v>2.6666666666666665</v>
      </c>
      <c r="I104" s="6">
        <f>SUMIF(Ratings_Long!$A$2:$A$577,$A104,Ratings_Long!$P$2:$P$577)/COUNTIF(Ratings_Long!$A$2:$A$577,$A104)</f>
        <v>3</v>
      </c>
      <c r="J104" s="6">
        <f>SUMIF(Ratings_Long!$A$2:$A$577,$A104,Ratings_Long!$Q$2:$Q$577)/COUNTIF(Ratings_Long!$A$2:$A$577,$A104)</f>
        <v>0.66666666666666663</v>
      </c>
      <c r="K104" s="6">
        <f>SUMIF(Ratings_Long!$A$2:$A$577,$A104,Ratings_Long!$R$2:$R$577)/COUNTIF(Ratings_Long!$A$2:$A$577,$A104)</f>
        <v>2</v>
      </c>
      <c r="L104" s="6">
        <f>SUMIF(Ratings_Long!$A$2:$A$577,$A104,Ratings_Long!$S$2:$S$577)/COUNTIF(Ratings_Long!$A$2:$A$577,$A104)</f>
        <v>3</v>
      </c>
      <c r="M104" s="6">
        <f t="shared" si="9"/>
        <v>1.9166666666666667</v>
      </c>
      <c r="N104" s="6">
        <f t="shared" si="10"/>
        <v>2.1111111111111112</v>
      </c>
      <c r="O104" s="6">
        <f t="shared" si="11"/>
        <v>-0.11111111111111116</v>
      </c>
    </row>
    <row r="105" spans="1:15">
      <c r="A105" t="s">
        <v>431</v>
      </c>
      <c r="B105" t="s">
        <v>181</v>
      </c>
      <c r="C105" t="s">
        <v>20</v>
      </c>
      <c r="D105" t="s">
        <v>51</v>
      </c>
      <c r="E105" t="s">
        <v>166</v>
      </c>
      <c r="F105" s="6">
        <v>-3.5714000000000003E-2</v>
      </c>
      <c r="G105" s="6">
        <f>SUMIF(Ratings_Long!$A$2:$A$577,$A105,Ratings_Long!$N$2:$N$577)/COUNTIF(Ratings_Long!$A$2:$A$577,$A105)</f>
        <v>1</v>
      </c>
      <c r="H105" s="6">
        <f>SUMIF(Ratings_Long!$A$2:$A$577,$A105,Ratings_Long!$O$2:$O$577)/COUNTIF(Ratings_Long!$A$2:$A$577,$A105)</f>
        <v>2.6666666666666665</v>
      </c>
      <c r="I105" s="6">
        <f>SUMIF(Ratings_Long!$A$2:$A$577,$A105,Ratings_Long!$P$2:$P$577)/COUNTIF(Ratings_Long!$A$2:$A$577,$A105)</f>
        <v>3</v>
      </c>
      <c r="J105" s="6">
        <f>SUMIF(Ratings_Long!$A$2:$A$577,$A105,Ratings_Long!$Q$2:$Q$577)/COUNTIF(Ratings_Long!$A$2:$A$577,$A105)</f>
        <v>0.66666666666666663</v>
      </c>
      <c r="K105" s="6">
        <f>SUMIF(Ratings_Long!$A$2:$A$577,$A105,Ratings_Long!$R$2:$R$577)/COUNTIF(Ratings_Long!$A$2:$A$577,$A105)</f>
        <v>3</v>
      </c>
      <c r="L105" s="6">
        <f>SUMIF(Ratings_Long!$A$2:$A$577,$A105,Ratings_Long!$S$2:$S$577)/COUNTIF(Ratings_Long!$A$2:$A$577,$A105)</f>
        <v>3</v>
      </c>
      <c r="M105" s="6">
        <f t="shared" si="9"/>
        <v>1.8333333333333333</v>
      </c>
      <c r="N105" s="6">
        <f t="shared" si="10"/>
        <v>2.2222222222222219</v>
      </c>
      <c r="O105" s="6">
        <f t="shared" si="11"/>
        <v>-0.33333333333333337</v>
      </c>
    </row>
    <row r="106" spans="1:15">
      <c r="A106" t="s">
        <v>433</v>
      </c>
      <c r="B106" t="s">
        <v>186</v>
      </c>
      <c r="C106" t="s">
        <v>20</v>
      </c>
      <c r="D106" t="s">
        <v>51</v>
      </c>
      <c r="E106" t="s">
        <v>187</v>
      </c>
      <c r="F106" s="6">
        <v>-2.9412000000000001E-2</v>
      </c>
      <c r="G106" s="6">
        <f>SUMIF(Ratings_Long!$A$2:$A$577,$A106,Ratings_Long!$N$2:$N$577)/COUNTIF(Ratings_Long!$A$2:$A$577,$A106)</f>
        <v>1</v>
      </c>
      <c r="H106" s="6">
        <f>SUMIF(Ratings_Long!$A$2:$A$577,$A106,Ratings_Long!$O$2:$O$577)/COUNTIF(Ratings_Long!$A$2:$A$577,$A106)</f>
        <v>2.3333333333333335</v>
      </c>
      <c r="I106" s="6">
        <f>SUMIF(Ratings_Long!$A$2:$A$577,$A106,Ratings_Long!$P$2:$P$577)/COUNTIF(Ratings_Long!$A$2:$A$577,$A106)</f>
        <v>2</v>
      </c>
      <c r="J106" s="6">
        <f>SUMIF(Ratings_Long!$A$2:$A$577,$A106,Ratings_Long!$Q$2:$Q$577)/COUNTIF(Ratings_Long!$A$2:$A$577,$A106)</f>
        <v>1</v>
      </c>
      <c r="K106" s="6">
        <f>SUMIF(Ratings_Long!$A$2:$A$577,$A106,Ratings_Long!$R$2:$R$577)/COUNTIF(Ratings_Long!$A$2:$A$577,$A106)</f>
        <v>1.6666666666666667</v>
      </c>
      <c r="L106" s="6">
        <f>SUMIF(Ratings_Long!$A$2:$A$577,$A106,Ratings_Long!$S$2:$S$577)/COUNTIF(Ratings_Long!$A$2:$A$577,$A106)</f>
        <v>2</v>
      </c>
      <c r="M106" s="6">
        <f t="shared" si="9"/>
        <v>1.5833333333333335</v>
      </c>
      <c r="N106" s="6">
        <f t="shared" si="10"/>
        <v>1.6666666666666667</v>
      </c>
      <c r="O106" s="6">
        <f t="shared" si="11"/>
        <v>-0.33333333333333337</v>
      </c>
    </row>
    <row r="107" spans="1:15">
      <c r="A107" t="s">
        <v>435</v>
      </c>
      <c r="B107" t="s">
        <v>192</v>
      </c>
      <c r="C107" t="s">
        <v>20</v>
      </c>
      <c r="D107" t="s">
        <v>51</v>
      </c>
      <c r="E107" t="s">
        <v>187</v>
      </c>
      <c r="F107" s="6">
        <v>-3.8462000000000003E-2</v>
      </c>
      <c r="G107" s="6">
        <f>SUMIF(Ratings_Long!$A$2:$A$577,$A107,Ratings_Long!$N$2:$N$577)/COUNTIF(Ratings_Long!$A$2:$A$577,$A107)</f>
        <v>0.33333333333333331</v>
      </c>
      <c r="H107" s="6">
        <f>SUMIF(Ratings_Long!$A$2:$A$577,$A107,Ratings_Long!$O$2:$O$577)/COUNTIF(Ratings_Long!$A$2:$A$577,$A107)</f>
        <v>2</v>
      </c>
      <c r="I107" s="6">
        <f>SUMIF(Ratings_Long!$A$2:$A$577,$A107,Ratings_Long!$P$2:$P$577)/COUNTIF(Ratings_Long!$A$2:$A$577,$A107)</f>
        <v>2.6666666666666665</v>
      </c>
      <c r="J107" s="6">
        <f>SUMIF(Ratings_Long!$A$2:$A$577,$A107,Ratings_Long!$Q$2:$Q$577)/COUNTIF(Ratings_Long!$A$2:$A$577,$A107)</f>
        <v>0</v>
      </c>
      <c r="K107" s="6">
        <f>SUMIF(Ratings_Long!$A$2:$A$577,$A107,Ratings_Long!$R$2:$R$577)/COUNTIF(Ratings_Long!$A$2:$A$577,$A107)</f>
        <v>2</v>
      </c>
      <c r="L107" s="6">
        <f>SUMIF(Ratings_Long!$A$2:$A$577,$A107,Ratings_Long!$S$2:$S$577)/COUNTIF(Ratings_Long!$A$2:$A$577,$A107)</f>
        <v>3</v>
      </c>
      <c r="M107" s="6">
        <f t="shared" si="9"/>
        <v>1.25</v>
      </c>
      <c r="N107" s="6">
        <f t="shared" si="10"/>
        <v>1.6666666666666667</v>
      </c>
      <c r="O107" s="6">
        <f t="shared" si="11"/>
        <v>-0.77777777777777779</v>
      </c>
    </row>
    <row r="108" spans="1:15">
      <c r="A108" t="s">
        <v>437</v>
      </c>
      <c r="B108" t="s">
        <v>197</v>
      </c>
      <c r="C108" t="s">
        <v>20</v>
      </c>
      <c r="D108" t="s">
        <v>51</v>
      </c>
      <c r="E108" t="s">
        <v>187</v>
      </c>
      <c r="F108" s="6">
        <v>-3.3333000000000002E-2</v>
      </c>
      <c r="G108" s="6">
        <f>SUMIF(Ratings_Long!$A$2:$A$577,$A108,Ratings_Long!$N$2:$N$577)/COUNTIF(Ratings_Long!$A$2:$A$577,$A108)</f>
        <v>0</v>
      </c>
      <c r="H108" s="6">
        <f>SUMIF(Ratings_Long!$A$2:$A$577,$A108,Ratings_Long!$O$2:$O$577)/COUNTIF(Ratings_Long!$A$2:$A$577,$A108)</f>
        <v>3</v>
      </c>
      <c r="I108" s="6">
        <f>SUMIF(Ratings_Long!$A$2:$A$577,$A108,Ratings_Long!$P$2:$P$577)/COUNTIF(Ratings_Long!$A$2:$A$577,$A108)</f>
        <v>2.3333333333333335</v>
      </c>
      <c r="J108" s="6">
        <f>SUMIF(Ratings_Long!$A$2:$A$577,$A108,Ratings_Long!$Q$2:$Q$577)/COUNTIF(Ratings_Long!$A$2:$A$577,$A108)</f>
        <v>0</v>
      </c>
      <c r="K108" s="6">
        <f>SUMIF(Ratings_Long!$A$2:$A$577,$A108,Ratings_Long!$R$2:$R$577)/COUNTIF(Ratings_Long!$A$2:$A$577,$A108)</f>
        <v>2</v>
      </c>
      <c r="L108" s="6">
        <f>SUMIF(Ratings_Long!$A$2:$A$577,$A108,Ratings_Long!$S$2:$S$577)/COUNTIF(Ratings_Long!$A$2:$A$577,$A108)</f>
        <v>2</v>
      </c>
      <c r="M108" s="6">
        <f t="shared" si="9"/>
        <v>1.3333333333333335</v>
      </c>
      <c r="N108" s="6">
        <f t="shared" si="10"/>
        <v>1.5555555555555556</v>
      </c>
      <c r="O108" s="6">
        <f t="shared" si="11"/>
        <v>-1</v>
      </c>
    </row>
    <row r="109" spans="1:15">
      <c r="A109" t="s">
        <v>439</v>
      </c>
      <c r="B109" t="s">
        <v>202</v>
      </c>
      <c r="C109" t="s">
        <v>20</v>
      </c>
      <c r="D109" t="s">
        <v>51</v>
      </c>
      <c r="E109" t="s">
        <v>187</v>
      </c>
      <c r="F109" s="6">
        <v>-3.3333000000000002E-2</v>
      </c>
      <c r="G109" s="6">
        <f>SUMIF(Ratings_Long!$A$2:$A$577,$A109,Ratings_Long!$N$2:$N$577)/COUNTIF(Ratings_Long!$A$2:$A$577,$A109)</f>
        <v>1.3333333333333333</v>
      </c>
      <c r="H109" s="6">
        <f>SUMIF(Ratings_Long!$A$2:$A$577,$A109,Ratings_Long!$O$2:$O$577)/COUNTIF(Ratings_Long!$A$2:$A$577,$A109)</f>
        <v>2</v>
      </c>
      <c r="I109" s="6">
        <f>SUMIF(Ratings_Long!$A$2:$A$577,$A109,Ratings_Long!$P$2:$P$577)/COUNTIF(Ratings_Long!$A$2:$A$577,$A109)</f>
        <v>3</v>
      </c>
      <c r="J109" s="6">
        <f>SUMIF(Ratings_Long!$A$2:$A$577,$A109,Ratings_Long!$Q$2:$Q$577)/COUNTIF(Ratings_Long!$A$2:$A$577,$A109)</f>
        <v>1.3333333333333333</v>
      </c>
      <c r="K109" s="6">
        <f>SUMIF(Ratings_Long!$A$2:$A$577,$A109,Ratings_Long!$R$2:$R$577)/COUNTIF(Ratings_Long!$A$2:$A$577,$A109)</f>
        <v>2.3333333333333335</v>
      </c>
      <c r="L109" s="6">
        <f>SUMIF(Ratings_Long!$A$2:$A$577,$A109,Ratings_Long!$S$2:$S$577)/COUNTIF(Ratings_Long!$A$2:$A$577,$A109)</f>
        <v>3</v>
      </c>
      <c r="M109" s="6">
        <f t="shared" si="9"/>
        <v>1.9166666666666665</v>
      </c>
      <c r="N109" s="6">
        <f t="shared" si="10"/>
        <v>2.1666666666666665</v>
      </c>
      <c r="O109" s="6">
        <f t="shared" si="11"/>
        <v>-0.11111111111111116</v>
      </c>
    </row>
    <row r="110" spans="1:15">
      <c r="A110" t="s">
        <v>441</v>
      </c>
      <c r="B110" t="s">
        <v>207</v>
      </c>
      <c r="C110" t="s">
        <v>20</v>
      </c>
      <c r="D110" t="s">
        <v>51</v>
      </c>
      <c r="E110" t="s">
        <v>208</v>
      </c>
      <c r="F110" s="6">
        <v>-3.125E-2</v>
      </c>
      <c r="G110" s="6">
        <f>SUMIF(Ratings_Long!$A$2:$A$577,$A110,Ratings_Long!$N$2:$N$577)/COUNTIF(Ratings_Long!$A$2:$A$577,$A110)</f>
        <v>0.33333333333333331</v>
      </c>
      <c r="H110" s="6">
        <f>SUMIF(Ratings_Long!$A$2:$A$577,$A110,Ratings_Long!$O$2:$O$577)/COUNTIF(Ratings_Long!$A$2:$A$577,$A110)</f>
        <v>1.3333333333333333</v>
      </c>
      <c r="I110" s="6">
        <f>SUMIF(Ratings_Long!$A$2:$A$577,$A110,Ratings_Long!$P$2:$P$577)/COUNTIF(Ratings_Long!$A$2:$A$577,$A110)</f>
        <v>1.6666666666666667</v>
      </c>
      <c r="J110" s="6">
        <f>SUMIF(Ratings_Long!$A$2:$A$577,$A110,Ratings_Long!$Q$2:$Q$577)/COUNTIF(Ratings_Long!$A$2:$A$577,$A110)</f>
        <v>0.33333333333333331</v>
      </c>
      <c r="K110" s="6">
        <f>SUMIF(Ratings_Long!$A$2:$A$577,$A110,Ratings_Long!$R$2:$R$577)/COUNTIF(Ratings_Long!$A$2:$A$577,$A110)</f>
        <v>1</v>
      </c>
      <c r="L110" s="6">
        <f>SUMIF(Ratings_Long!$A$2:$A$577,$A110,Ratings_Long!$S$2:$S$577)/COUNTIF(Ratings_Long!$A$2:$A$577,$A110)</f>
        <v>2.3333333333333335</v>
      </c>
      <c r="M110" s="6">
        <f t="shared" si="9"/>
        <v>0.91666666666666663</v>
      </c>
      <c r="N110" s="6">
        <f t="shared" si="10"/>
        <v>1.1666666666666667</v>
      </c>
      <c r="O110" s="6">
        <f t="shared" si="11"/>
        <v>-0.77777777777777779</v>
      </c>
    </row>
    <row r="111" spans="1:15">
      <c r="A111" t="s">
        <v>443</v>
      </c>
      <c r="B111" t="s">
        <v>213</v>
      </c>
      <c r="C111" t="s">
        <v>20</v>
      </c>
      <c r="D111" t="s">
        <v>51</v>
      </c>
      <c r="E111" t="s">
        <v>208</v>
      </c>
      <c r="F111" s="6">
        <v>-3.5714000000000003E-2</v>
      </c>
      <c r="G111" s="6">
        <f>SUMIF(Ratings_Long!$A$2:$A$577,$A111,Ratings_Long!$N$2:$N$577)/COUNTIF(Ratings_Long!$A$2:$A$577,$A111)</f>
        <v>0.66666666666666663</v>
      </c>
      <c r="H111" s="6">
        <f>SUMIF(Ratings_Long!$A$2:$A$577,$A111,Ratings_Long!$O$2:$O$577)/COUNTIF(Ratings_Long!$A$2:$A$577,$A111)</f>
        <v>1.6666666666666667</v>
      </c>
      <c r="I111" s="6">
        <f>SUMIF(Ratings_Long!$A$2:$A$577,$A111,Ratings_Long!$P$2:$P$577)/COUNTIF(Ratings_Long!$A$2:$A$577,$A111)</f>
        <v>2</v>
      </c>
      <c r="J111" s="6">
        <f>SUMIF(Ratings_Long!$A$2:$A$577,$A111,Ratings_Long!$Q$2:$Q$577)/COUNTIF(Ratings_Long!$A$2:$A$577,$A111)</f>
        <v>1</v>
      </c>
      <c r="K111" s="6">
        <f>SUMIF(Ratings_Long!$A$2:$A$577,$A111,Ratings_Long!$R$2:$R$577)/COUNTIF(Ratings_Long!$A$2:$A$577,$A111)</f>
        <v>2</v>
      </c>
      <c r="L111" s="6">
        <f>SUMIF(Ratings_Long!$A$2:$A$577,$A111,Ratings_Long!$S$2:$S$577)/COUNTIF(Ratings_Long!$A$2:$A$577,$A111)</f>
        <v>2</v>
      </c>
      <c r="M111" s="6">
        <f t="shared" si="9"/>
        <v>1.3333333333333335</v>
      </c>
      <c r="N111" s="6">
        <f t="shared" si="10"/>
        <v>1.5555555555555556</v>
      </c>
      <c r="O111" s="6">
        <f t="shared" si="11"/>
        <v>-0.55555555555555558</v>
      </c>
    </row>
    <row r="112" spans="1:15">
      <c r="A112" t="s">
        <v>445</v>
      </c>
      <c r="B112" t="s">
        <v>218</v>
      </c>
      <c r="C112" t="s">
        <v>20</v>
      </c>
      <c r="D112" t="s">
        <v>51</v>
      </c>
      <c r="E112" t="s">
        <v>208</v>
      </c>
      <c r="F112" s="6">
        <v>0</v>
      </c>
      <c r="G112" s="6">
        <f>SUMIF(Ratings_Long!$A$2:$A$577,$A112,Ratings_Long!$N$2:$N$577)/COUNTIF(Ratings_Long!$A$2:$A$577,$A112)</f>
        <v>0.33333333333333331</v>
      </c>
      <c r="H112" s="6">
        <f>SUMIF(Ratings_Long!$A$2:$A$577,$A112,Ratings_Long!$O$2:$O$577)/COUNTIF(Ratings_Long!$A$2:$A$577,$A112)</f>
        <v>0</v>
      </c>
      <c r="I112" s="6">
        <f>SUMIF(Ratings_Long!$A$2:$A$577,$A112,Ratings_Long!$P$2:$P$577)/COUNTIF(Ratings_Long!$A$2:$A$577,$A112)</f>
        <v>0.33333333333333331</v>
      </c>
      <c r="J112" s="6">
        <f>SUMIF(Ratings_Long!$A$2:$A$577,$A112,Ratings_Long!$Q$2:$Q$577)/COUNTIF(Ratings_Long!$A$2:$A$577,$A112)</f>
        <v>1</v>
      </c>
      <c r="K112" s="6">
        <f>SUMIF(Ratings_Long!$A$2:$A$577,$A112,Ratings_Long!$R$2:$R$577)/COUNTIF(Ratings_Long!$A$2:$A$577,$A112)</f>
        <v>1.3333333333333333</v>
      </c>
      <c r="L112" s="6">
        <f>SUMIF(Ratings_Long!$A$2:$A$577,$A112,Ratings_Long!$S$2:$S$577)/COUNTIF(Ratings_Long!$A$2:$A$577,$A112)</f>
        <v>2</v>
      </c>
      <c r="M112" s="6">
        <f t="shared" si="9"/>
        <v>0.41666666666666663</v>
      </c>
      <c r="N112" s="6">
        <f t="shared" si="10"/>
        <v>0.83333333333333337</v>
      </c>
      <c r="O112" s="6">
        <f t="shared" si="11"/>
        <v>-0.77777777777777779</v>
      </c>
    </row>
    <row r="113" spans="1:15">
      <c r="A113" t="s">
        <v>448</v>
      </c>
      <c r="B113" t="s">
        <v>223</v>
      </c>
      <c r="C113" t="s">
        <v>20</v>
      </c>
      <c r="D113" t="s">
        <v>51</v>
      </c>
      <c r="E113" t="s">
        <v>208</v>
      </c>
      <c r="F113" s="6">
        <v>0</v>
      </c>
      <c r="G113" s="6">
        <f>SUMIF(Ratings_Long!$A$2:$A$577,$A113,Ratings_Long!$N$2:$N$577)/COUNTIF(Ratings_Long!$A$2:$A$577,$A113)</f>
        <v>2.3333333333333335</v>
      </c>
      <c r="H113" s="6">
        <f>SUMIF(Ratings_Long!$A$2:$A$577,$A113,Ratings_Long!$O$2:$O$577)/COUNTIF(Ratings_Long!$A$2:$A$577,$A113)</f>
        <v>1</v>
      </c>
      <c r="I113" s="6">
        <f>SUMIF(Ratings_Long!$A$2:$A$577,$A113,Ratings_Long!$P$2:$P$577)/COUNTIF(Ratings_Long!$A$2:$A$577,$A113)</f>
        <v>1</v>
      </c>
      <c r="J113" s="6">
        <f>SUMIF(Ratings_Long!$A$2:$A$577,$A113,Ratings_Long!$Q$2:$Q$577)/COUNTIF(Ratings_Long!$A$2:$A$577,$A113)</f>
        <v>2.6666666666666665</v>
      </c>
      <c r="K113" s="6">
        <f>SUMIF(Ratings_Long!$A$2:$A$577,$A113,Ratings_Long!$R$2:$R$577)/COUNTIF(Ratings_Long!$A$2:$A$577,$A113)</f>
        <v>2</v>
      </c>
      <c r="L113" s="6">
        <f>SUMIF(Ratings_Long!$A$2:$A$577,$A113,Ratings_Long!$S$2:$S$577)/COUNTIF(Ratings_Long!$A$2:$A$577,$A113)</f>
        <v>2.3333333333333335</v>
      </c>
      <c r="M113" s="6">
        <f t="shared" si="9"/>
        <v>1.75</v>
      </c>
      <c r="N113" s="6">
        <f t="shared" si="10"/>
        <v>1.8888888888888891</v>
      </c>
      <c r="O113" s="6">
        <f t="shared" si="11"/>
        <v>0.55555555555555558</v>
      </c>
    </row>
    <row r="114" spans="1:15">
      <c r="A114" t="s">
        <v>450</v>
      </c>
      <c r="B114" t="s">
        <v>228</v>
      </c>
      <c r="C114" t="s">
        <v>20</v>
      </c>
      <c r="D114" t="s">
        <v>51</v>
      </c>
      <c r="E114" t="s">
        <v>229</v>
      </c>
      <c r="F114" s="6">
        <v>0</v>
      </c>
      <c r="G114" s="6">
        <f>SUMIF(Ratings_Long!$A$2:$A$577,$A114,Ratings_Long!$N$2:$N$577)/COUNTIF(Ratings_Long!$A$2:$A$577,$A114)</f>
        <v>2</v>
      </c>
      <c r="H114" s="6">
        <f>SUMIF(Ratings_Long!$A$2:$A$577,$A114,Ratings_Long!$O$2:$O$577)/COUNTIF(Ratings_Long!$A$2:$A$577,$A114)</f>
        <v>0</v>
      </c>
      <c r="I114" s="6">
        <f>SUMIF(Ratings_Long!$A$2:$A$577,$A114,Ratings_Long!$P$2:$P$577)/COUNTIF(Ratings_Long!$A$2:$A$577,$A114)</f>
        <v>1</v>
      </c>
      <c r="J114" s="6">
        <f>SUMIF(Ratings_Long!$A$2:$A$577,$A114,Ratings_Long!$Q$2:$Q$577)/COUNTIF(Ratings_Long!$A$2:$A$577,$A114)</f>
        <v>1</v>
      </c>
      <c r="K114" s="6">
        <f>SUMIF(Ratings_Long!$A$2:$A$577,$A114,Ratings_Long!$R$2:$R$577)/COUNTIF(Ratings_Long!$A$2:$A$577,$A114)</f>
        <v>1.3333333333333333</v>
      </c>
      <c r="L114" s="6">
        <f>SUMIF(Ratings_Long!$A$2:$A$577,$A114,Ratings_Long!$S$2:$S$577)/COUNTIF(Ratings_Long!$A$2:$A$577,$A114)</f>
        <v>2</v>
      </c>
      <c r="M114" s="6">
        <f t="shared" si="9"/>
        <v>1</v>
      </c>
      <c r="N114" s="6">
        <f t="shared" si="10"/>
        <v>1.2222222222222221</v>
      </c>
      <c r="O114" s="6">
        <f t="shared" si="11"/>
        <v>0.33333333333333326</v>
      </c>
    </row>
    <row r="115" spans="1:15">
      <c r="A115" t="s">
        <v>452</v>
      </c>
      <c r="B115" t="s">
        <v>234</v>
      </c>
      <c r="C115" t="s">
        <v>20</v>
      </c>
      <c r="D115" t="s">
        <v>51</v>
      </c>
      <c r="E115" t="s">
        <v>229</v>
      </c>
      <c r="F115" s="6">
        <v>0</v>
      </c>
      <c r="G115" s="6">
        <f>SUMIF(Ratings_Long!$A$2:$A$577,$A115,Ratings_Long!$N$2:$N$577)/COUNTIF(Ratings_Long!$A$2:$A$577,$A115)</f>
        <v>1</v>
      </c>
      <c r="H115" s="6">
        <f>SUMIF(Ratings_Long!$A$2:$A$577,$A115,Ratings_Long!$O$2:$O$577)/COUNTIF(Ratings_Long!$A$2:$A$577,$A115)</f>
        <v>0.66666666666666663</v>
      </c>
      <c r="I115" s="6">
        <f>SUMIF(Ratings_Long!$A$2:$A$577,$A115,Ratings_Long!$P$2:$P$577)/COUNTIF(Ratings_Long!$A$2:$A$577,$A115)</f>
        <v>0.33333333333333331</v>
      </c>
      <c r="J115" s="6">
        <f>SUMIF(Ratings_Long!$A$2:$A$577,$A115,Ratings_Long!$Q$2:$Q$577)/COUNTIF(Ratings_Long!$A$2:$A$577,$A115)</f>
        <v>0.33333333333333331</v>
      </c>
      <c r="K115" s="6">
        <f>SUMIF(Ratings_Long!$A$2:$A$577,$A115,Ratings_Long!$R$2:$R$577)/COUNTIF(Ratings_Long!$A$2:$A$577,$A115)</f>
        <v>2.3333333333333335</v>
      </c>
      <c r="L115" s="6">
        <f>SUMIF(Ratings_Long!$A$2:$A$577,$A115,Ratings_Long!$S$2:$S$577)/COUNTIF(Ratings_Long!$A$2:$A$577,$A115)</f>
        <v>2.6666666666666665</v>
      </c>
      <c r="M115" s="6">
        <f t="shared" si="9"/>
        <v>0.58333333333333326</v>
      </c>
      <c r="N115" s="6">
        <f t="shared" si="10"/>
        <v>1.2222222222222221</v>
      </c>
      <c r="O115" s="6">
        <f t="shared" si="11"/>
        <v>-0.33333333333333337</v>
      </c>
    </row>
    <row r="116" spans="1:15">
      <c r="A116" t="s">
        <v>454</v>
      </c>
      <c r="B116" t="s">
        <v>239</v>
      </c>
      <c r="C116" t="s">
        <v>20</v>
      </c>
      <c r="D116" t="s">
        <v>51</v>
      </c>
      <c r="E116" t="s">
        <v>229</v>
      </c>
      <c r="F116" s="6">
        <v>0</v>
      </c>
      <c r="G116" s="6">
        <f>SUMIF(Ratings_Long!$A$2:$A$577,$A116,Ratings_Long!$N$2:$N$577)/COUNTIF(Ratings_Long!$A$2:$A$577,$A116)</f>
        <v>2</v>
      </c>
      <c r="H116" s="6">
        <f>SUMIF(Ratings_Long!$A$2:$A$577,$A116,Ratings_Long!$O$2:$O$577)/COUNTIF(Ratings_Long!$A$2:$A$577,$A116)</f>
        <v>1.6666666666666667</v>
      </c>
      <c r="I116" s="6">
        <f>SUMIF(Ratings_Long!$A$2:$A$577,$A116,Ratings_Long!$P$2:$P$577)/COUNTIF(Ratings_Long!$A$2:$A$577,$A116)</f>
        <v>2</v>
      </c>
      <c r="J116" s="6">
        <f>SUMIF(Ratings_Long!$A$2:$A$577,$A116,Ratings_Long!$Q$2:$Q$577)/COUNTIF(Ratings_Long!$A$2:$A$577,$A116)</f>
        <v>1.6666666666666667</v>
      </c>
      <c r="K116" s="6">
        <f>SUMIF(Ratings_Long!$A$2:$A$577,$A116,Ratings_Long!$R$2:$R$577)/COUNTIF(Ratings_Long!$A$2:$A$577,$A116)</f>
        <v>2</v>
      </c>
      <c r="L116" s="6">
        <f>SUMIF(Ratings_Long!$A$2:$A$577,$A116,Ratings_Long!$S$2:$S$577)/COUNTIF(Ratings_Long!$A$2:$A$577,$A116)</f>
        <v>2</v>
      </c>
      <c r="M116" s="6">
        <f t="shared" si="9"/>
        <v>1.8333333333333335</v>
      </c>
      <c r="N116" s="6">
        <f t="shared" si="10"/>
        <v>1.8888888888888891</v>
      </c>
      <c r="O116" s="6">
        <f t="shared" si="11"/>
        <v>0.33333333333333326</v>
      </c>
    </row>
    <row r="117" spans="1:15">
      <c r="A117" t="s">
        <v>457</v>
      </c>
      <c r="B117" t="s">
        <v>244</v>
      </c>
      <c r="C117" t="s">
        <v>20</v>
      </c>
      <c r="D117" t="s">
        <v>51</v>
      </c>
      <c r="E117" t="s">
        <v>229</v>
      </c>
      <c r="F117" s="6">
        <v>0</v>
      </c>
      <c r="G117" s="6">
        <f>SUMIF(Ratings_Long!$A$2:$A$577,$A117,Ratings_Long!$N$2:$N$577)/COUNTIF(Ratings_Long!$A$2:$A$577,$A117)</f>
        <v>1.6666666666666667</v>
      </c>
      <c r="H117" s="6">
        <f>SUMIF(Ratings_Long!$A$2:$A$577,$A117,Ratings_Long!$O$2:$O$577)/COUNTIF(Ratings_Long!$A$2:$A$577,$A117)</f>
        <v>2.6666666666666665</v>
      </c>
      <c r="I117" s="6">
        <f>SUMIF(Ratings_Long!$A$2:$A$577,$A117,Ratings_Long!$P$2:$P$577)/COUNTIF(Ratings_Long!$A$2:$A$577,$A117)</f>
        <v>2.6666666666666665</v>
      </c>
      <c r="J117" s="6">
        <f>SUMIF(Ratings_Long!$A$2:$A$577,$A117,Ratings_Long!$Q$2:$Q$577)/COUNTIF(Ratings_Long!$A$2:$A$577,$A117)</f>
        <v>1.6666666666666667</v>
      </c>
      <c r="K117" s="6">
        <f>SUMIF(Ratings_Long!$A$2:$A$577,$A117,Ratings_Long!$R$2:$R$577)/COUNTIF(Ratings_Long!$A$2:$A$577,$A117)</f>
        <v>2</v>
      </c>
      <c r="L117" s="6">
        <f>SUMIF(Ratings_Long!$A$2:$A$577,$A117,Ratings_Long!$S$2:$S$577)/COUNTIF(Ratings_Long!$A$2:$A$577,$A117)</f>
        <v>3</v>
      </c>
      <c r="M117" s="6">
        <f t="shared" si="9"/>
        <v>2.1666666666666665</v>
      </c>
      <c r="N117" s="6">
        <f t="shared" si="10"/>
        <v>2.2777777777777777</v>
      </c>
      <c r="O117" s="6">
        <f t="shared" si="11"/>
        <v>0.11111111111111116</v>
      </c>
    </row>
    <row r="118" spans="1:15">
      <c r="A118" t="s">
        <v>459</v>
      </c>
      <c r="B118" t="s">
        <v>249</v>
      </c>
      <c r="C118" t="s">
        <v>20</v>
      </c>
      <c r="D118" t="s">
        <v>51</v>
      </c>
      <c r="E118" t="s">
        <v>250</v>
      </c>
      <c r="F118" s="6">
        <v>0</v>
      </c>
      <c r="G118" s="6">
        <f>SUMIF(Ratings_Long!$A$2:$A$577,$A118,Ratings_Long!$N$2:$N$577)/COUNTIF(Ratings_Long!$A$2:$A$577,$A118)</f>
        <v>1.3333333333333333</v>
      </c>
      <c r="H118" s="6">
        <f>SUMIF(Ratings_Long!$A$2:$A$577,$A118,Ratings_Long!$O$2:$O$577)/COUNTIF(Ratings_Long!$A$2:$A$577,$A118)</f>
        <v>2</v>
      </c>
      <c r="I118" s="6">
        <f>SUMIF(Ratings_Long!$A$2:$A$577,$A118,Ratings_Long!$P$2:$P$577)/COUNTIF(Ratings_Long!$A$2:$A$577,$A118)</f>
        <v>2.3333333333333335</v>
      </c>
      <c r="J118" s="6">
        <f>SUMIF(Ratings_Long!$A$2:$A$577,$A118,Ratings_Long!$Q$2:$Q$577)/COUNTIF(Ratings_Long!$A$2:$A$577,$A118)</f>
        <v>1</v>
      </c>
      <c r="K118" s="6">
        <f>SUMIF(Ratings_Long!$A$2:$A$577,$A118,Ratings_Long!$R$2:$R$577)/COUNTIF(Ratings_Long!$A$2:$A$577,$A118)</f>
        <v>2</v>
      </c>
      <c r="L118" s="6">
        <f>SUMIF(Ratings_Long!$A$2:$A$577,$A118,Ratings_Long!$S$2:$S$577)/COUNTIF(Ratings_Long!$A$2:$A$577,$A118)</f>
        <v>2.6666666666666665</v>
      </c>
      <c r="M118" s="6">
        <f t="shared" si="9"/>
        <v>1.6666666666666665</v>
      </c>
      <c r="N118" s="6">
        <f t="shared" si="10"/>
        <v>1.8888888888888886</v>
      </c>
      <c r="O118" s="6">
        <f t="shared" si="11"/>
        <v>-0.11111111111111116</v>
      </c>
    </row>
    <row r="119" spans="1:15">
      <c r="A119" t="s">
        <v>461</v>
      </c>
      <c r="B119" t="s">
        <v>255</v>
      </c>
      <c r="C119" t="s">
        <v>20</v>
      </c>
      <c r="D119" t="s">
        <v>51</v>
      </c>
      <c r="E119" t="s">
        <v>250</v>
      </c>
      <c r="F119" s="6">
        <v>0</v>
      </c>
      <c r="G119" s="6">
        <f>SUMIF(Ratings_Long!$A$2:$A$577,$A119,Ratings_Long!$N$2:$N$577)/COUNTIF(Ratings_Long!$A$2:$A$577,$A119)</f>
        <v>0.33333333333333331</v>
      </c>
      <c r="H119" s="6">
        <f>SUMIF(Ratings_Long!$A$2:$A$577,$A119,Ratings_Long!$O$2:$O$577)/COUNTIF(Ratings_Long!$A$2:$A$577,$A119)</f>
        <v>2</v>
      </c>
      <c r="I119" s="6">
        <f>SUMIF(Ratings_Long!$A$2:$A$577,$A119,Ratings_Long!$P$2:$P$577)/COUNTIF(Ratings_Long!$A$2:$A$577,$A119)</f>
        <v>1.6666666666666667</v>
      </c>
      <c r="J119" s="6">
        <f>SUMIF(Ratings_Long!$A$2:$A$577,$A119,Ratings_Long!$Q$2:$Q$577)/COUNTIF(Ratings_Long!$A$2:$A$577,$A119)</f>
        <v>0.33333333333333331</v>
      </c>
      <c r="K119" s="6">
        <f>SUMIF(Ratings_Long!$A$2:$A$577,$A119,Ratings_Long!$R$2:$R$577)/COUNTIF(Ratings_Long!$A$2:$A$577,$A119)</f>
        <v>1.6666666666666667</v>
      </c>
      <c r="L119" s="6">
        <f>SUMIF(Ratings_Long!$A$2:$A$577,$A119,Ratings_Long!$S$2:$S$577)/COUNTIF(Ratings_Long!$A$2:$A$577,$A119)</f>
        <v>2</v>
      </c>
      <c r="M119" s="6">
        <f t="shared" si="9"/>
        <v>1.0833333333333333</v>
      </c>
      <c r="N119" s="6">
        <f t="shared" si="10"/>
        <v>1.3333333333333333</v>
      </c>
      <c r="O119" s="6">
        <f t="shared" si="11"/>
        <v>-0.77777777777777779</v>
      </c>
    </row>
    <row r="120" spans="1:15">
      <c r="A120" t="s">
        <v>463</v>
      </c>
      <c r="B120" t="s">
        <v>260</v>
      </c>
      <c r="C120" t="s">
        <v>20</v>
      </c>
      <c r="D120" t="s">
        <v>51</v>
      </c>
      <c r="E120" t="s">
        <v>250</v>
      </c>
      <c r="F120" s="6">
        <v>0</v>
      </c>
      <c r="G120" s="6">
        <f>SUMIF(Ratings_Long!$A$2:$A$577,$A120,Ratings_Long!$N$2:$N$577)/COUNTIF(Ratings_Long!$A$2:$A$577,$A120)</f>
        <v>0.33333333333333331</v>
      </c>
      <c r="H120" s="6">
        <f>SUMIF(Ratings_Long!$A$2:$A$577,$A120,Ratings_Long!$O$2:$O$577)/COUNTIF(Ratings_Long!$A$2:$A$577,$A120)</f>
        <v>2.3333333333333335</v>
      </c>
      <c r="I120" s="6">
        <f>SUMIF(Ratings_Long!$A$2:$A$577,$A120,Ratings_Long!$P$2:$P$577)/COUNTIF(Ratings_Long!$A$2:$A$577,$A120)</f>
        <v>2</v>
      </c>
      <c r="J120" s="6">
        <f>SUMIF(Ratings_Long!$A$2:$A$577,$A120,Ratings_Long!$Q$2:$Q$577)/COUNTIF(Ratings_Long!$A$2:$A$577,$A120)</f>
        <v>0</v>
      </c>
      <c r="K120" s="6">
        <f>SUMIF(Ratings_Long!$A$2:$A$577,$A120,Ratings_Long!$R$2:$R$577)/COUNTIF(Ratings_Long!$A$2:$A$577,$A120)</f>
        <v>1.6666666666666667</v>
      </c>
      <c r="L120" s="6">
        <f>SUMIF(Ratings_Long!$A$2:$A$577,$A120,Ratings_Long!$S$2:$S$577)/COUNTIF(Ratings_Long!$A$2:$A$577,$A120)</f>
        <v>2</v>
      </c>
      <c r="M120" s="6">
        <f t="shared" si="9"/>
        <v>1.1666666666666667</v>
      </c>
      <c r="N120" s="6">
        <f t="shared" si="10"/>
        <v>1.3888888888888891</v>
      </c>
      <c r="O120" s="6">
        <f t="shared" si="11"/>
        <v>-0.77777777777777779</v>
      </c>
    </row>
    <row r="121" spans="1:15">
      <c r="A121" t="s">
        <v>465</v>
      </c>
      <c r="B121" t="s">
        <v>265</v>
      </c>
      <c r="C121" t="s">
        <v>20</v>
      </c>
      <c r="D121" t="s">
        <v>51</v>
      </c>
      <c r="E121" t="s">
        <v>250</v>
      </c>
      <c r="F121" s="6">
        <v>0</v>
      </c>
      <c r="G121" s="6">
        <f>SUMIF(Ratings_Long!$A$2:$A$577,$A121,Ratings_Long!$N$2:$N$577)/COUNTIF(Ratings_Long!$A$2:$A$577,$A121)</f>
        <v>1</v>
      </c>
      <c r="H121" s="6">
        <f>SUMIF(Ratings_Long!$A$2:$A$577,$A121,Ratings_Long!$O$2:$O$577)/COUNTIF(Ratings_Long!$A$2:$A$577,$A121)</f>
        <v>2.3333333333333335</v>
      </c>
      <c r="I121" s="6">
        <f>SUMIF(Ratings_Long!$A$2:$A$577,$A121,Ratings_Long!$P$2:$P$577)/COUNTIF(Ratings_Long!$A$2:$A$577,$A121)</f>
        <v>2</v>
      </c>
      <c r="J121" s="6">
        <f>SUMIF(Ratings_Long!$A$2:$A$577,$A121,Ratings_Long!$Q$2:$Q$577)/COUNTIF(Ratings_Long!$A$2:$A$577,$A121)</f>
        <v>1</v>
      </c>
      <c r="K121" s="6">
        <f>SUMIF(Ratings_Long!$A$2:$A$577,$A121,Ratings_Long!$R$2:$R$577)/COUNTIF(Ratings_Long!$A$2:$A$577,$A121)</f>
        <v>2</v>
      </c>
      <c r="L121" s="6">
        <f>SUMIF(Ratings_Long!$A$2:$A$577,$A121,Ratings_Long!$S$2:$S$577)/COUNTIF(Ratings_Long!$A$2:$A$577,$A121)</f>
        <v>3</v>
      </c>
      <c r="M121" s="6">
        <f t="shared" si="9"/>
        <v>1.5833333333333335</v>
      </c>
      <c r="N121" s="6">
        <f t="shared" si="10"/>
        <v>1.8888888888888891</v>
      </c>
      <c r="O121" s="6">
        <f t="shared" si="11"/>
        <v>-0.33333333333333337</v>
      </c>
    </row>
    <row r="122" spans="1:15">
      <c r="A122" t="s">
        <v>467</v>
      </c>
      <c r="B122" t="s">
        <v>142</v>
      </c>
      <c r="C122" t="s">
        <v>21</v>
      </c>
      <c r="D122" t="s">
        <v>52</v>
      </c>
      <c r="E122" t="s">
        <v>143</v>
      </c>
      <c r="F122" s="6">
        <v>-3.4483E-2</v>
      </c>
      <c r="G122" s="6">
        <f>SUMIF(Ratings_Long!$A$2:$A$577,$A122,Ratings_Long!$N$2:$N$577)/COUNTIF(Ratings_Long!$A$2:$A$577,$A122)</f>
        <v>1.3333333333333333</v>
      </c>
      <c r="H122" s="6">
        <f>SUMIF(Ratings_Long!$A$2:$A$577,$A122,Ratings_Long!$O$2:$O$577)/COUNTIF(Ratings_Long!$A$2:$A$577,$A122)</f>
        <v>3</v>
      </c>
      <c r="I122" s="6">
        <f>SUMIF(Ratings_Long!$A$2:$A$577,$A122,Ratings_Long!$P$2:$P$577)/COUNTIF(Ratings_Long!$A$2:$A$577,$A122)</f>
        <v>3</v>
      </c>
      <c r="J122" s="6">
        <f>SUMIF(Ratings_Long!$A$2:$A$577,$A122,Ratings_Long!$Q$2:$Q$577)/COUNTIF(Ratings_Long!$A$2:$A$577,$A122)</f>
        <v>1</v>
      </c>
      <c r="K122" s="6">
        <f>SUMIF(Ratings_Long!$A$2:$A$577,$A122,Ratings_Long!$R$2:$R$577)/COUNTIF(Ratings_Long!$A$2:$A$577,$A122)</f>
        <v>2.6666666666666665</v>
      </c>
      <c r="L122" s="6">
        <f>SUMIF(Ratings_Long!$A$2:$A$577,$A122,Ratings_Long!$S$2:$S$577)/COUNTIF(Ratings_Long!$A$2:$A$577,$A122)</f>
        <v>2.6666666666666665</v>
      </c>
      <c r="M122" s="6">
        <f t="shared" si="9"/>
        <v>2.083333333333333</v>
      </c>
      <c r="N122" s="6">
        <f t="shared" si="10"/>
        <v>2.2777777777777772</v>
      </c>
      <c r="O122" s="6">
        <f t="shared" si="11"/>
        <v>-0.11111111111111116</v>
      </c>
    </row>
    <row r="123" spans="1:15">
      <c r="A123" t="s">
        <v>468</v>
      </c>
      <c r="B123" t="s">
        <v>149</v>
      </c>
      <c r="C123" t="s">
        <v>21</v>
      </c>
      <c r="D123" t="s">
        <v>52</v>
      </c>
      <c r="E123" t="s">
        <v>143</v>
      </c>
      <c r="F123" s="6">
        <v>-3.3333000000000002E-2</v>
      </c>
      <c r="G123" s="6">
        <f>SUMIF(Ratings_Long!$A$2:$A$577,$A123,Ratings_Long!$N$2:$N$577)/COUNTIF(Ratings_Long!$A$2:$A$577,$A123)</f>
        <v>1</v>
      </c>
      <c r="H123" s="6">
        <f>SUMIF(Ratings_Long!$A$2:$A$577,$A123,Ratings_Long!$O$2:$O$577)/COUNTIF(Ratings_Long!$A$2:$A$577,$A123)</f>
        <v>2.6666666666666665</v>
      </c>
      <c r="I123" s="6">
        <f>SUMIF(Ratings_Long!$A$2:$A$577,$A123,Ratings_Long!$P$2:$P$577)/COUNTIF(Ratings_Long!$A$2:$A$577,$A123)</f>
        <v>3</v>
      </c>
      <c r="J123" s="6">
        <f>SUMIF(Ratings_Long!$A$2:$A$577,$A123,Ratings_Long!$Q$2:$Q$577)/COUNTIF(Ratings_Long!$A$2:$A$577,$A123)</f>
        <v>0.33333333333333331</v>
      </c>
      <c r="K123" s="6">
        <f>SUMIF(Ratings_Long!$A$2:$A$577,$A123,Ratings_Long!$R$2:$R$577)/COUNTIF(Ratings_Long!$A$2:$A$577,$A123)</f>
        <v>2</v>
      </c>
      <c r="L123" s="6">
        <f>SUMIF(Ratings_Long!$A$2:$A$577,$A123,Ratings_Long!$S$2:$S$577)/COUNTIF(Ratings_Long!$A$2:$A$577,$A123)</f>
        <v>3</v>
      </c>
      <c r="M123" s="6">
        <f t="shared" si="9"/>
        <v>1.7499999999999998</v>
      </c>
      <c r="N123" s="6">
        <f t="shared" si="10"/>
        <v>2</v>
      </c>
      <c r="O123" s="6">
        <f t="shared" si="11"/>
        <v>-0.33333333333333337</v>
      </c>
    </row>
    <row r="124" spans="1:15">
      <c r="A124" t="s">
        <v>469</v>
      </c>
      <c r="B124" t="s">
        <v>154</v>
      </c>
      <c r="C124" t="s">
        <v>21</v>
      </c>
      <c r="D124" t="s">
        <v>52</v>
      </c>
      <c r="E124" t="s">
        <v>143</v>
      </c>
      <c r="F124" s="6">
        <v>-0.04</v>
      </c>
      <c r="G124" s="6">
        <f>SUMIF(Ratings_Long!$A$2:$A$577,$A124,Ratings_Long!$N$2:$N$577)/COUNTIF(Ratings_Long!$A$2:$A$577,$A124)</f>
        <v>0.33333333333333331</v>
      </c>
      <c r="H124" s="6">
        <f>SUMIF(Ratings_Long!$A$2:$A$577,$A124,Ratings_Long!$O$2:$O$577)/COUNTIF(Ratings_Long!$A$2:$A$577,$A124)</f>
        <v>3</v>
      </c>
      <c r="I124" s="6">
        <f>SUMIF(Ratings_Long!$A$2:$A$577,$A124,Ratings_Long!$P$2:$P$577)/COUNTIF(Ratings_Long!$A$2:$A$577,$A124)</f>
        <v>2.3333333333333335</v>
      </c>
      <c r="J124" s="6">
        <f>SUMIF(Ratings_Long!$A$2:$A$577,$A124,Ratings_Long!$Q$2:$Q$577)/COUNTIF(Ratings_Long!$A$2:$A$577,$A124)</f>
        <v>1</v>
      </c>
      <c r="K124" s="6">
        <f>SUMIF(Ratings_Long!$A$2:$A$577,$A124,Ratings_Long!$R$2:$R$577)/COUNTIF(Ratings_Long!$A$2:$A$577,$A124)</f>
        <v>2.3333333333333335</v>
      </c>
      <c r="L124" s="6">
        <f>SUMIF(Ratings_Long!$A$2:$A$577,$A124,Ratings_Long!$S$2:$S$577)/COUNTIF(Ratings_Long!$A$2:$A$577,$A124)</f>
        <v>3</v>
      </c>
      <c r="M124" s="6">
        <f t="shared" si="9"/>
        <v>1.6666666666666667</v>
      </c>
      <c r="N124" s="6">
        <f t="shared" si="10"/>
        <v>2</v>
      </c>
      <c r="O124" s="6">
        <f t="shared" si="11"/>
        <v>-0.77777777777777779</v>
      </c>
    </row>
    <row r="125" spans="1:15">
      <c r="A125" t="s">
        <v>470</v>
      </c>
      <c r="B125" t="s">
        <v>160</v>
      </c>
      <c r="C125" t="s">
        <v>21</v>
      </c>
      <c r="D125" t="s">
        <v>52</v>
      </c>
      <c r="E125" t="s">
        <v>143</v>
      </c>
      <c r="F125" s="6">
        <v>-3.4483E-2</v>
      </c>
      <c r="G125" s="6">
        <f>SUMIF(Ratings_Long!$A$2:$A$577,$A125,Ratings_Long!$N$2:$N$577)/COUNTIF(Ratings_Long!$A$2:$A$577,$A125)</f>
        <v>1</v>
      </c>
      <c r="H125" s="6">
        <f>SUMIF(Ratings_Long!$A$2:$A$577,$A125,Ratings_Long!$O$2:$O$577)/COUNTIF(Ratings_Long!$A$2:$A$577,$A125)</f>
        <v>2</v>
      </c>
      <c r="I125" s="6">
        <f>SUMIF(Ratings_Long!$A$2:$A$577,$A125,Ratings_Long!$P$2:$P$577)/COUNTIF(Ratings_Long!$A$2:$A$577,$A125)</f>
        <v>2.6666666666666665</v>
      </c>
      <c r="J125" s="6">
        <f>SUMIF(Ratings_Long!$A$2:$A$577,$A125,Ratings_Long!$Q$2:$Q$577)/COUNTIF(Ratings_Long!$A$2:$A$577,$A125)</f>
        <v>1</v>
      </c>
      <c r="K125" s="6">
        <f>SUMIF(Ratings_Long!$A$2:$A$577,$A125,Ratings_Long!$R$2:$R$577)/COUNTIF(Ratings_Long!$A$2:$A$577,$A125)</f>
        <v>1.3333333333333333</v>
      </c>
      <c r="L125" s="6">
        <f>SUMIF(Ratings_Long!$A$2:$A$577,$A125,Ratings_Long!$S$2:$S$577)/COUNTIF(Ratings_Long!$A$2:$A$577,$A125)</f>
        <v>1</v>
      </c>
      <c r="M125" s="6">
        <f t="shared" si="9"/>
        <v>1.6666666666666665</v>
      </c>
      <c r="N125" s="6">
        <f t="shared" si="10"/>
        <v>1.5</v>
      </c>
      <c r="O125" s="6">
        <f t="shared" si="11"/>
        <v>-0.33333333333333337</v>
      </c>
    </row>
    <row r="126" spans="1:15">
      <c r="A126" t="s">
        <v>471</v>
      </c>
      <c r="B126" t="s">
        <v>165</v>
      </c>
      <c r="C126" t="s">
        <v>21</v>
      </c>
      <c r="D126" t="s">
        <v>52</v>
      </c>
      <c r="E126" t="s">
        <v>166</v>
      </c>
      <c r="F126" s="6">
        <v>-3.3333000000000002E-2</v>
      </c>
      <c r="G126" s="6">
        <f>SUMIF(Ratings_Long!$A$2:$A$577,$A126,Ratings_Long!$N$2:$N$577)/COUNTIF(Ratings_Long!$A$2:$A$577,$A126)</f>
        <v>1</v>
      </c>
      <c r="H126" s="6">
        <f>SUMIF(Ratings_Long!$A$2:$A$577,$A126,Ratings_Long!$O$2:$O$577)/COUNTIF(Ratings_Long!$A$2:$A$577,$A126)</f>
        <v>2</v>
      </c>
      <c r="I126" s="6">
        <f>SUMIF(Ratings_Long!$A$2:$A$577,$A126,Ratings_Long!$P$2:$P$577)/COUNTIF(Ratings_Long!$A$2:$A$577,$A126)</f>
        <v>2.3333333333333335</v>
      </c>
      <c r="J126" s="6">
        <f>SUMIF(Ratings_Long!$A$2:$A$577,$A126,Ratings_Long!$Q$2:$Q$577)/COUNTIF(Ratings_Long!$A$2:$A$577,$A126)</f>
        <v>2</v>
      </c>
      <c r="K126" s="6">
        <f>SUMIF(Ratings_Long!$A$2:$A$577,$A126,Ratings_Long!$R$2:$R$577)/COUNTIF(Ratings_Long!$A$2:$A$577,$A126)</f>
        <v>2.6666666666666665</v>
      </c>
      <c r="L126" s="6">
        <f>SUMIF(Ratings_Long!$A$2:$A$577,$A126,Ratings_Long!$S$2:$S$577)/COUNTIF(Ratings_Long!$A$2:$A$577,$A126)</f>
        <v>3</v>
      </c>
      <c r="M126" s="6">
        <f t="shared" si="9"/>
        <v>1.8333333333333335</v>
      </c>
      <c r="N126" s="6">
        <f t="shared" si="10"/>
        <v>2.1666666666666665</v>
      </c>
      <c r="O126" s="6">
        <f t="shared" si="11"/>
        <v>-0.33333333333333337</v>
      </c>
    </row>
    <row r="127" spans="1:15">
      <c r="A127" t="s">
        <v>472</v>
      </c>
      <c r="B127" t="s">
        <v>171</v>
      </c>
      <c r="C127" t="s">
        <v>21</v>
      </c>
      <c r="D127" t="s">
        <v>52</v>
      </c>
      <c r="E127" t="s">
        <v>166</v>
      </c>
      <c r="F127" s="6">
        <v>-3.4483E-2</v>
      </c>
      <c r="G127" s="6">
        <f>SUMIF(Ratings_Long!$A$2:$A$577,$A127,Ratings_Long!$N$2:$N$577)/COUNTIF(Ratings_Long!$A$2:$A$577,$A127)</f>
        <v>1.3333333333333333</v>
      </c>
      <c r="H127" s="6">
        <f>SUMIF(Ratings_Long!$A$2:$A$577,$A127,Ratings_Long!$O$2:$O$577)/COUNTIF(Ratings_Long!$A$2:$A$577,$A127)</f>
        <v>3</v>
      </c>
      <c r="I127" s="6">
        <f>SUMIF(Ratings_Long!$A$2:$A$577,$A127,Ratings_Long!$P$2:$P$577)/COUNTIF(Ratings_Long!$A$2:$A$577,$A127)</f>
        <v>3</v>
      </c>
      <c r="J127" s="6">
        <f>SUMIF(Ratings_Long!$A$2:$A$577,$A127,Ratings_Long!$Q$2:$Q$577)/COUNTIF(Ratings_Long!$A$2:$A$577,$A127)</f>
        <v>1</v>
      </c>
      <c r="K127" s="6">
        <f>SUMIF(Ratings_Long!$A$2:$A$577,$A127,Ratings_Long!$R$2:$R$577)/COUNTIF(Ratings_Long!$A$2:$A$577,$A127)</f>
        <v>2.6666666666666665</v>
      </c>
      <c r="L127" s="6">
        <f>SUMIF(Ratings_Long!$A$2:$A$577,$A127,Ratings_Long!$S$2:$S$577)/COUNTIF(Ratings_Long!$A$2:$A$577,$A127)</f>
        <v>3</v>
      </c>
      <c r="M127" s="6">
        <f t="shared" si="9"/>
        <v>2.083333333333333</v>
      </c>
      <c r="N127" s="6">
        <f t="shared" si="10"/>
        <v>2.333333333333333</v>
      </c>
      <c r="O127" s="6">
        <f t="shared" si="11"/>
        <v>-0.11111111111111116</v>
      </c>
    </row>
    <row r="128" spans="1:15">
      <c r="A128" t="s">
        <v>473</v>
      </c>
      <c r="B128" t="s">
        <v>176</v>
      </c>
      <c r="C128" t="s">
        <v>21</v>
      </c>
      <c r="D128" t="s">
        <v>52</v>
      </c>
      <c r="E128" t="s">
        <v>166</v>
      </c>
      <c r="F128" s="6">
        <v>3.4483E-2</v>
      </c>
      <c r="G128" s="6">
        <f>SUMIF(Ratings_Long!$A$2:$A$577,$A128,Ratings_Long!$N$2:$N$577)/COUNTIF(Ratings_Long!$A$2:$A$577,$A128)</f>
        <v>2.6666666666666665</v>
      </c>
      <c r="H128" s="6">
        <f>SUMIF(Ratings_Long!$A$2:$A$577,$A128,Ratings_Long!$O$2:$O$577)/COUNTIF(Ratings_Long!$A$2:$A$577,$A128)</f>
        <v>2.3333333333333335</v>
      </c>
      <c r="I128" s="6">
        <f>SUMIF(Ratings_Long!$A$2:$A$577,$A128,Ratings_Long!$P$2:$P$577)/COUNTIF(Ratings_Long!$A$2:$A$577,$A128)</f>
        <v>3</v>
      </c>
      <c r="J128" s="6">
        <f>SUMIF(Ratings_Long!$A$2:$A$577,$A128,Ratings_Long!$Q$2:$Q$577)/COUNTIF(Ratings_Long!$A$2:$A$577,$A128)</f>
        <v>2.6666666666666665</v>
      </c>
      <c r="K128" s="6">
        <f>SUMIF(Ratings_Long!$A$2:$A$577,$A128,Ratings_Long!$R$2:$R$577)/COUNTIF(Ratings_Long!$A$2:$A$577,$A128)</f>
        <v>2.3333333333333335</v>
      </c>
      <c r="L128" s="6">
        <f>SUMIF(Ratings_Long!$A$2:$A$577,$A128,Ratings_Long!$S$2:$S$577)/COUNTIF(Ratings_Long!$A$2:$A$577,$A128)</f>
        <v>2</v>
      </c>
      <c r="M128" s="6">
        <f t="shared" si="9"/>
        <v>2.6666666666666665</v>
      </c>
      <c r="N128" s="6">
        <f t="shared" si="10"/>
        <v>2.5</v>
      </c>
      <c r="O128" s="6">
        <f t="shared" si="11"/>
        <v>0.77777777777777768</v>
      </c>
    </row>
    <row r="129" spans="1:15">
      <c r="A129" t="s">
        <v>476</v>
      </c>
      <c r="B129" t="s">
        <v>181</v>
      </c>
      <c r="C129" t="s">
        <v>21</v>
      </c>
      <c r="D129" t="s">
        <v>52</v>
      </c>
      <c r="E129" t="s">
        <v>166</v>
      </c>
      <c r="F129" s="6">
        <v>3.5714000000000003E-2</v>
      </c>
      <c r="G129" s="6">
        <f>SUMIF(Ratings_Long!$A$2:$A$577,$A129,Ratings_Long!$N$2:$N$577)/COUNTIF(Ratings_Long!$A$2:$A$577,$A129)</f>
        <v>1</v>
      </c>
      <c r="H129" s="6">
        <f>SUMIF(Ratings_Long!$A$2:$A$577,$A129,Ratings_Long!$O$2:$O$577)/COUNTIF(Ratings_Long!$A$2:$A$577,$A129)</f>
        <v>2.3333333333333335</v>
      </c>
      <c r="I129" s="6">
        <f>SUMIF(Ratings_Long!$A$2:$A$577,$A129,Ratings_Long!$P$2:$P$577)/COUNTIF(Ratings_Long!$A$2:$A$577,$A129)</f>
        <v>3</v>
      </c>
      <c r="J129" s="6">
        <f>SUMIF(Ratings_Long!$A$2:$A$577,$A129,Ratings_Long!$Q$2:$Q$577)/COUNTIF(Ratings_Long!$A$2:$A$577,$A129)</f>
        <v>1.3333333333333333</v>
      </c>
      <c r="K129" s="6">
        <f>SUMIF(Ratings_Long!$A$2:$A$577,$A129,Ratings_Long!$R$2:$R$577)/COUNTIF(Ratings_Long!$A$2:$A$577,$A129)</f>
        <v>2</v>
      </c>
      <c r="L129" s="6">
        <f>SUMIF(Ratings_Long!$A$2:$A$577,$A129,Ratings_Long!$S$2:$S$577)/COUNTIF(Ratings_Long!$A$2:$A$577,$A129)</f>
        <v>3</v>
      </c>
      <c r="M129" s="6">
        <f t="shared" si="9"/>
        <v>1.9166666666666667</v>
      </c>
      <c r="N129" s="6">
        <f t="shared" si="10"/>
        <v>2.1111111111111112</v>
      </c>
      <c r="O129" s="6">
        <f t="shared" si="11"/>
        <v>-0.33333333333333337</v>
      </c>
    </row>
    <row r="130" spans="1:15">
      <c r="A130" t="s">
        <v>478</v>
      </c>
      <c r="B130" t="s">
        <v>186</v>
      </c>
      <c r="C130" t="s">
        <v>21</v>
      </c>
      <c r="D130" t="s">
        <v>52</v>
      </c>
      <c r="E130" t="s">
        <v>187</v>
      </c>
      <c r="F130" s="6">
        <v>0</v>
      </c>
      <c r="G130" s="6">
        <f>SUMIF(Ratings_Long!$A$2:$A$577,$A130,Ratings_Long!$N$2:$N$577)/COUNTIF(Ratings_Long!$A$2:$A$577,$A130)</f>
        <v>0.66666666666666663</v>
      </c>
      <c r="H130" s="6">
        <f>SUMIF(Ratings_Long!$A$2:$A$577,$A130,Ratings_Long!$O$2:$O$577)/COUNTIF(Ratings_Long!$A$2:$A$577,$A130)</f>
        <v>1</v>
      </c>
      <c r="I130" s="6">
        <f>SUMIF(Ratings_Long!$A$2:$A$577,$A130,Ratings_Long!$P$2:$P$577)/COUNTIF(Ratings_Long!$A$2:$A$577,$A130)</f>
        <v>0.66666666666666663</v>
      </c>
      <c r="J130" s="6">
        <f>SUMIF(Ratings_Long!$A$2:$A$577,$A130,Ratings_Long!$Q$2:$Q$577)/COUNTIF(Ratings_Long!$A$2:$A$577,$A130)</f>
        <v>1</v>
      </c>
      <c r="K130" s="6">
        <f>SUMIF(Ratings_Long!$A$2:$A$577,$A130,Ratings_Long!$R$2:$R$577)/COUNTIF(Ratings_Long!$A$2:$A$577,$A130)</f>
        <v>1.6666666666666667</v>
      </c>
      <c r="L130" s="6">
        <f>SUMIF(Ratings_Long!$A$2:$A$577,$A130,Ratings_Long!$S$2:$S$577)/COUNTIF(Ratings_Long!$A$2:$A$577,$A130)</f>
        <v>2.3333333333333335</v>
      </c>
      <c r="M130" s="6">
        <f t="shared" ref="M130:M161" si="12">AVERAGE(G130:J130)</f>
        <v>0.83333333333333326</v>
      </c>
      <c r="N130" s="6">
        <f t="shared" ref="N130:N161" si="13">AVERAGE(G130:L130)</f>
        <v>1.2222222222222223</v>
      </c>
      <c r="O130" s="6">
        <f t="shared" ref="O130:O161" si="14">(G130/3)*2-1</f>
        <v>-0.55555555555555558</v>
      </c>
    </row>
    <row r="131" spans="1:15">
      <c r="A131" t="s">
        <v>480</v>
      </c>
      <c r="B131" t="s">
        <v>192</v>
      </c>
      <c r="C131" t="s">
        <v>21</v>
      </c>
      <c r="D131" t="s">
        <v>52</v>
      </c>
      <c r="E131" t="s">
        <v>187</v>
      </c>
      <c r="F131" s="6">
        <v>0</v>
      </c>
      <c r="G131" s="6">
        <f>SUMIF(Ratings_Long!$A$2:$A$577,$A131,Ratings_Long!$N$2:$N$577)/COUNTIF(Ratings_Long!$A$2:$A$577,$A131)</f>
        <v>1.6666666666666667</v>
      </c>
      <c r="H131" s="6">
        <f>SUMIF(Ratings_Long!$A$2:$A$577,$A131,Ratings_Long!$O$2:$O$577)/COUNTIF(Ratings_Long!$A$2:$A$577,$A131)</f>
        <v>1</v>
      </c>
      <c r="I131" s="6">
        <f>SUMIF(Ratings_Long!$A$2:$A$577,$A131,Ratings_Long!$P$2:$P$577)/COUNTIF(Ratings_Long!$A$2:$A$577,$A131)</f>
        <v>0.33333333333333331</v>
      </c>
      <c r="J131" s="6">
        <f>SUMIF(Ratings_Long!$A$2:$A$577,$A131,Ratings_Long!$Q$2:$Q$577)/COUNTIF(Ratings_Long!$A$2:$A$577,$A131)</f>
        <v>1</v>
      </c>
      <c r="K131" s="6">
        <f>SUMIF(Ratings_Long!$A$2:$A$577,$A131,Ratings_Long!$R$2:$R$577)/COUNTIF(Ratings_Long!$A$2:$A$577,$A131)</f>
        <v>2.3333333333333335</v>
      </c>
      <c r="L131" s="6">
        <f>SUMIF(Ratings_Long!$A$2:$A$577,$A131,Ratings_Long!$S$2:$S$577)/COUNTIF(Ratings_Long!$A$2:$A$577,$A131)</f>
        <v>2.6666666666666665</v>
      </c>
      <c r="M131" s="6">
        <f t="shared" si="12"/>
        <v>1</v>
      </c>
      <c r="N131" s="6">
        <f t="shared" si="13"/>
        <v>1.5</v>
      </c>
      <c r="O131" s="6">
        <f t="shared" si="14"/>
        <v>0.11111111111111116</v>
      </c>
    </row>
    <row r="132" spans="1:15">
      <c r="A132" t="s">
        <v>482</v>
      </c>
      <c r="B132" t="s">
        <v>197</v>
      </c>
      <c r="C132" t="s">
        <v>21</v>
      </c>
      <c r="D132" t="s">
        <v>52</v>
      </c>
      <c r="E132" t="s">
        <v>187</v>
      </c>
      <c r="F132" s="6">
        <v>0</v>
      </c>
      <c r="G132" s="6">
        <f>SUMIF(Ratings_Long!$A$2:$A$577,$A132,Ratings_Long!$N$2:$N$577)/COUNTIF(Ratings_Long!$A$2:$A$577,$A132)</f>
        <v>1</v>
      </c>
      <c r="H132" s="6">
        <f>SUMIF(Ratings_Long!$A$2:$A$577,$A132,Ratings_Long!$O$2:$O$577)/COUNTIF(Ratings_Long!$A$2:$A$577,$A132)</f>
        <v>1</v>
      </c>
      <c r="I132" s="6">
        <f>SUMIF(Ratings_Long!$A$2:$A$577,$A132,Ratings_Long!$P$2:$P$577)/COUNTIF(Ratings_Long!$A$2:$A$577,$A132)</f>
        <v>0.66666666666666663</v>
      </c>
      <c r="J132" s="6">
        <f>SUMIF(Ratings_Long!$A$2:$A$577,$A132,Ratings_Long!$Q$2:$Q$577)/COUNTIF(Ratings_Long!$A$2:$A$577,$A132)</f>
        <v>1</v>
      </c>
      <c r="K132" s="6">
        <f>SUMIF(Ratings_Long!$A$2:$A$577,$A132,Ratings_Long!$R$2:$R$577)/COUNTIF(Ratings_Long!$A$2:$A$577,$A132)</f>
        <v>2.3333333333333335</v>
      </c>
      <c r="L132" s="6">
        <f>SUMIF(Ratings_Long!$A$2:$A$577,$A132,Ratings_Long!$S$2:$S$577)/COUNTIF(Ratings_Long!$A$2:$A$577,$A132)</f>
        <v>2</v>
      </c>
      <c r="M132" s="6">
        <f t="shared" si="12"/>
        <v>0.91666666666666663</v>
      </c>
      <c r="N132" s="6">
        <f t="shared" si="13"/>
        <v>1.3333333333333333</v>
      </c>
      <c r="O132" s="6">
        <f t="shared" si="14"/>
        <v>-0.33333333333333337</v>
      </c>
    </row>
    <row r="133" spans="1:15">
      <c r="A133" t="s">
        <v>484</v>
      </c>
      <c r="B133" t="s">
        <v>202</v>
      </c>
      <c r="C133" t="s">
        <v>21</v>
      </c>
      <c r="D133" t="s">
        <v>52</v>
      </c>
      <c r="E133" t="s">
        <v>187</v>
      </c>
      <c r="F133" s="6">
        <v>0</v>
      </c>
      <c r="G133" s="6">
        <f>SUMIF(Ratings_Long!$A$2:$A$577,$A133,Ratings_Long!$N$2:$N$577)/COUNTIF(Ratings_Long!$A$2:$A$577,$A133)</f>
        <v>2</v>
      </c>
      <c r="H133" s="6">
        <f>SUMIF(Ratings_Long!$A$2:$A$577,$A133,Ratings_Long!$O$2:$O$577)/COUNTIF(Ratings_Long!$A$2:$A$577,$A133)</f>
        <v>1</v>
      </c>
      <c r="I133" s="6">
        <f>SUMIF(Ratings_Long!$A$2:$A$577,$A133,Ratings_Long!$P$2:$P$577)/COUNTIF(Ratings_Long!$A$2:$A$577,$A133)</f>
        <v>1</v>
      </c>
      <c r="J133" s="6">
        <f>SUMIF(Ratings_Long!$A$2:$A$577,$A133,Ratings_Long!$Q$2:$Q$577)/COUNTIF(Ratings_Long!$A$2:$A$577,$A133)</f>
        <v>3</v>
      </c>
      <c r="K133" s="6">
        <f>SUMIF(Ratings_Long!$A$2:$A$577,$A133,Ratings_Long!$R$2:$R$577)/COUNTIF(Ratings_Long!$A$2:$A$577,$A133)</f>
        <v>2</v>
      </c>
      <c r="L133" s="6">
        <f>SUMIF(Ratings_Long!$A$2:$A$577,$A133,Ratings_Long!$S$2:$S$577)/COUNTIF(Ratings_Long!$A$2:$A$577,$A133)</f>
        <v>2</v>
      </c>
      <c r="M133" s="6">
        <f t="shared" si="12"/>
        <v>1.75</v>
      </c>
      <c r="N133" s="6">
        <f t="shared" si="13"/>
        <v>1.8333333333333333</v>
      </c>
      <c r="O133" s="6">
        <f t="shared" si="14"/>
        <v>0.33333333333333326</v>
      </c>
    </row>
    <row r="134" spans="1:15">
      <c r="A134" t="s">
        <v>486</v>
      </c>
      <c r="B134" t="s">
        <v>207</v>
      </c>
      <c r="C134" t="s">
        <v>21</v>
      </c>
      <c r="D134" t="s">
        <v>52</v>
      </c>
      <c r="E134" t="s">
        <v>208</v>
      </c>
      <c r="F134" s="6">
        <v>0</v>
      </c>
      <c r="G134" s="6">
        <f>SUMIF(Ratings_Long!$A$2:$A$577,$A134,Ratings_Long!$N$2:$N$577)/COUNTIF(Ratings_Long!$A$2:$A$577,$A134)</f>
        <v>1.3333333333333333</v>
      </c>
      <c r="H134" s="6">
        <f>SUMIF(Ratings_Long!$A$2:$A$577,$A134,Ratings_Long!$O$2:$O$577)/COUNTIF(Ratings_Long!$A$2:$A$577,$A134)</f>
        <v>2</v>
      </c>
      <c r="I134" s="6">
        <f>SUMIF(Ratings_Long!$A$2:$A$577,$A134,Ratings_Long!$P$2:$P$577)/COUNTIF(Ratings_Long!$A$2:$A$577,$A134)</f>
        <v>1.6666666666666667</v>
      </c>
      <c r="J134" s="6">
        <f>SUMIF(Ratings_Long!$A$2:$A$577,$A134,Ratings_Long!$Q$2:$Q$577)/COUNTIF(Ratings_Long!$A$2:$A$577,$A134)</f>
        <v>1</v>
      </c>
      <c r="K134" s="6">
        <f>SUMIF(Ratings_Long!$A$2:$A$577,$A134,Ratings_Long!$R$2:$R$577)/COUNTIF(Ratings_Long!$A$2:$A$577,$A134)</f>
        <v>2</v>
      </c>
      <c r="L134" s="6">
        <f>SUMIF(Ratings_Long!$A$2:$A$577,$A134,Ratings_Long!$S$2:$S$577)/COUNTIF(Ratings_Long!$A$2:$A$577,$A134)</f>
        <v>1.3333333333333333</v>
      </c>
      <c r="M134" s="6">
        <f t="shared" si="12"/>
        <v>1.5</v>
      </c>
      <c r="N134" s="6">
        <f t="shared" si="13"/>
        <v>1.5555555555555556</v>
      </c>
      <c r="O134" s="6">
        <f t="shared" si="14"/>
        <v>-0.11111111111111116</v>
      </c>
    </row>
    <row r="135" spans="1:15">
      <c r="A135" t="s">
        <v>488</v>
      </c>
      <c r="B135" t="s">
        <v>213</v>
      </c>
      <c r="C135" t="s">
        <v>21</v>
      </c>
      <c r="D135" t="s">
        <v>52</v>
      </c>
      <c r="E135" t="s">
        <v>208</v>
      </c>
      <c r="F135" s="6">
        <v>0</v>
      </c>
      <c r="G135" s="6">
        <f>SUMIF(Ratings_Long!$A$2:$A$577,$A135,Ratings_Long!$N$2:$N$577)/COUNTIF(Ratings_Long!$A$2:$A$577,$A135)</f>
        <v>2</v>
      </c>
      <c r="H135" s="6">
        <f>SUMIF(Ratings_Long!$A$2:$A$577,$A135,Ratings_Long!$O$2:$O$577)/COUNTIF(Ratings_Long!$A$2:$A$577,$A135)</f>
        <v>1.6666666666666667</v>
      </c>
      <c r="I135" s="6">
        <f>SUMIF(Ratings_Long!$A$2:$A$577,$A135,Ratings_Long!$P$2:$P$577)/COUNTIF(Ratings_Long!$A$2:$A$577,$A135)</f>
        <v>2</v>
      </c>
      <c r="J135" s="6">
        <f>SUMIF(Ratings_Long!$A$2:$A$577,$A135,Ratings_Long!$Q$2:$Q$577)/COUNTIF(Ratings_Long!$A$2:$A$577,$A135)</f>
        <v>2</v>
      </c>
      <c r="K135" s="6">
        <f>SUMIF(Ratings_Long!$A$2:$A$577,$A135,Ratings_Long!$R$2:$R$577)/COUNTIF(Ratings_Long!$A$2:$A$577,$A135)</f>
        <v>1.3333333333333333</v>
      </c>
      <c r="L135" s="6">
        <f>SUMIF(Ratings_Long!$A$2:$A$577,$A135,Ratings_Long!$S$2:$S$577)/COUNTIF(Ratings_Long!$A$2:$A$577,$A135)</f>
        <v>2</v>
      </c>
      <c r="M135" s="6">
        <f t="shared" si="12"/>
        <v>1.9166666666666667</v>
      </c>
      <c r="N135" s="6">
        <f t="shared" si="13"/>
        <v>1.8333333333333333</v>
      </c>
      <c r="O135" s="6">
        <f t="shared" si="14"/>
        <v>0.33333333333333326</v>
      </c>
    </row>
    <row r="136" spans="1:15">
      <c r="A136" t="s">
        <v>490</v>
      </c>
      <c r="B136" t="s">
        <v>218</v>
      </c>
      <c r="C136" t="s">
        <v>21</v>
      </c>
      <c r="D136" t="s">
        <v>52</v>
      </c>
      <c r="E136" t="s">
        <v>208</v>
      </c>
      <c r="F136" s="6">
        <v>0</v>
      </c>
      <c r="G136" s="6">
        <f>SUMIF(Ratings_Long!$A$2:$A$577,$A136,Ratings_Long!$N$2:$N$577)/COUNTIF(Ratings_Long!$A$2:$A$577,$A136)</f>
        <v>0.66666666666666663</v>
      </c>
      <c r="H136" s="6">
        <f>SUMIF(Ratings_Long!$A$2:$A$577,$A136,Ratings_Long!$O$2:$O$577)/COUNTIF(Ratings_Long!$A$2:$A$577,$A136)</f>
        <v>2</v>
      </c>
      <c r="I136" s="6">
        <f>SUMIF(Ratings_Long!$A$2:$A$577,$A136,Ratings_Long!$P$2:$P$577)/COUNTIF(Ratings_Long!$A$2:$A$577,$A136)</f>
        <v>1.6666666666666667</v>
      </c>
      <c r="J136" s="6">
        <f>SUMIF(Ratings_Long!$A$2:$A$577,$A136,Ratings_Long!$Q$2:$Q$577)/COUNTIF(Ratings_Long!$A$2:$A$577,$A136)</f>
        <v>1.3333333333333333</v>
      </c>
      <c r="K136" s="6">
        <f>SUMIF(Ratings_Long!$A$2:$A$577,$A136,Ratings_Long!$R$2:$R$577)/COUNTIF(Ratings_Long!$A$2:$A$577,$A136)</f>
        <v>2</v>
      </c>
      <c r="L136" s="6">
        <f>SUMIF(Ratings_Long!$A$2:$A$577,$A136,Ratings_Long!$S$2:$S$577)/COUNTIF(Ratings_Long!$A$2:$A$577,$A136)</f>
        <v>2</v>
      </c>
      <c r="M136" s="6">
        <f t="shared" si="12"/>
        <v>1.4166666666666665</v>
      </c>
      <c r="N136" s="6">
        <f t="shared" si="13"/>
        <v>1.6111111111111109</v>
      </c>
      <c r="O136" s="6">
        <f t="shared" si="14"/>
        <v>-0.55555555555555558</v>
      </c>
    </row>
    <row r="137" spans="1:15">
      <c r="A137" t="s">
        <v>492</v>
      </c>
      <c r="B137" t="s">
        <v>223</v>
      </c>
      <c r="C137" t="s">
        <v>21</v>
      </c>
      <c r="D137" t="s">
        <v>52</v>
      </c>
      <c r="E137" t="s">
        <v>208</v>
      </c>
      <c r="F137" s="6">
        <v>0</v>
      </c>
      <c r="G137" s="6">
        <f>SUMIF(Ratings_Long!$A$2:$A$577,$A137,Ratings_Long!$N$2:$N$577)/COUNTIF(Ratings_Long!$A$2:$A$577,$A137)</f>
        <v>1.3333333333333333</v>
      </c>
      <c r="H137" s="6">
        <f>SUMIF(Ratings_Long!$A$2:$A$577,$A137,Ratings_Long!$O$2:$O$577)/COUNTIF(Ratings_Long!$A$2:$A$577,$A137)</f>
        <v>2.6666666666666665</v>
      </c>
      <c r="I137" s="6">
        <f>SUMIF(Ratings_Long!$A$2:$A$577,$A137,Ratings_Long!$P$2:$P$577)/COUNTIF(Ratings_Long!$A$2:$A$577,$A137)</f>
        <v>2.6666666666666665</v>
      </c>
      <c r="J137" s="6">
        <f>SUMIF(Ratings_Long!$A$2:$A$577,$A137,Ratings_Long!$Q$2:$Q$577)/COUNTIF(Ratings_Long!$A$2:$A$577,$A137)</f>
        <v>2</v>
      </c>
      <c r="K137" s="6">
        <f>SUMIF(Ratings_Long!$A$2:$A$577,$A137,Ratings_Long!$R$2:$R$577)/COUNTIF(Ratings_Long!$A$2:$A$577,$A137)</f>
        <v>2</v>
      </c>
      <c r="L137" s="6">
        <f>SUMIF(Ratings_Long!$A$2:$A$577,$A137,Ratings_Long!$S$2:$S$577)/COUNTIF(Ratings_Long!$A$2:$A$577,$A137)</f>
        <v>2</v>
      </c>
      <c r="M137" s="6">
        <f t="shared" si="12"/>
        <v>2.1666666666666665</v>
      </c>
      <c r="N137" s="6">
        <f t="shared" si="13"/>
        <v>2.1111111111111112</v>
      </c>
      <c r="O137" s="6">
        <f t="shared" si="14"/>
        <v>-0.11111111111111116</v>
      </c>
    </row>
    <row r="138" spans="1:15">
      <c r="A138" t="s">
        <v>494</v>
      </c>
      <c r="B138" t="s">
        <v>228</v>
      </c>
      <c r="C138" t="s">
        <v>21</v>
      </c>
      <c r="D138" t="s">
        <v>52</v>
      </c>
      <c r="E138" t="s">
        <v>229</v>
      </c>
      <c r="F138" s="6">
        <v>0</v>
      </c>
      <c r="G138" s="6">
        <f>SUMIF(Ratings_Long!$A$2:$A$577,$A138,Ratings_Long!$N$2:$N$577)/COUNTIF(Ratings_Long!$A$2:$A$577,$A138)</f>
        <v>1</v>
      </c>
      <c r="H138" s="6">
        <f>SUMIF(Ratings_Long!$A$2:$A$577,$A138,Ratings_Long!$O$2:$O$577)/COUNTIF(Ratings_Long!$A$2:$A$577,$A138)</f>
        <v>2</v>
      </c>
      <c r="I138" s="6">
        <f>SUMIF(Ratings_Long!$A$2:$A$577,$A138,Ratings_Long!$P$2:$P$577)/COUNTIF(Ratings_Long!$A$2:$A$577,$A138)</f>
        <v>2</v>
      </c>
      <c r="J138" s="6">
        <f>SUMIF(Ratings_Long!$A$2:$A$577,$A138,Ratings_Long!$Q$2:$Q$577)/COUNTIF(Ratings_Long!$A$2:$A$577,$A138)</f>
        <v>2</v>
      </c>
      <c r="K138" s="6">
        <f>SUMIF(Ratings_Long!$A$2:$A$577,$A138,Ratings_Long!$R$2:$R$577)/COUNTIF(Ratings_Long!$A$2:$A$577,$A138)</f>
        <v>2</v>
      </c>
      <c r="L138" s="6">
        <f>SUMIF(Ratings_Long!$A$2:$A$577,$A138,Ratings_Long!$S$2:$S$577)/COUNTIF(Ratings_Long!$A$2:$A$577,$A138)</f>
        <v>2.6666666666666665</v>
      </c>
      <c r="M138" s="6">
        <f t="shared" si="12"/>
        <v>1.75</v>
      </c>
      <c r="N138" s="6">
        <f t="shared" si="13"/>
        <v>1.9444444444444444</v>
      </c>
      <c r="O138" s="6">
        <f t="shared" si="14"/>
        <v>-0.33333333333333337</v>
      </c>
    </row>
    <row r="139" spans="1:15">
      <c r="A139" t="s">
        <v>496</v>
      </c>
      <c r="B139" t="s">
        <v>234</v>
      </c>
      <c r="C139" t="s">
        <v>21</v>
      </c>
      <c r="D139" t="s">
        <v>52</v>
      </c>
      <c r="E139" t="s">
        <v>229</v>
      </c>
      <c r="F139" s="6">
        <v>0</v>
      </c>
      <c r="G139" s="6">
        <f>SUMIF(Ratings_Long!$A$2:$A$577,$A139,Ratings_Long!$N$2:$N$577)/COUNTIF(Ratings_Long!$A$2:$A$577,$A139)</f>
        <v>1.3333333333333333</v>
      </c>
      <c r="H139" s="6">
        <f>SUMIF(Ratings_Long!$A$2:$A$577,$A139,Ratings_Long!$O$2:$O$577)/COUNTIF(Ratings_Long!$A$2:$A$577,$A139)</f>
        <v>1.6666666666666667</v>
      </c>
      <c r="I139" s="6">
        <f>SUMIF(Ratings_Long!$A$2:$A$577,$A139,Ratings_Long!$P$2:$P$577)/COUNTIF(Ratings_Long!$A$2:$A$577,$A139)</f>
        <v>1.6666666666666667</v>
      </c>
      <c r="J139" s="6">
        <f>SUMIF(Ratings_Long!$A$2:$A$577,$A139,Ratings_Long!$Q$2:$Q$577)/COUNTIF(Ratings_Long!$A$2:$A$577,$A139)</f>
        <v>1</v>
      </c>
      <c r="K139" s="6">
        <f>SUMIF(Ratings_Long!$A$2:$A$577,$A139,Ratings_Long!$R$2:$R$577)/COUNTIF(Ratings_Long!$A$2:$A$577,$A139)</f>
        <v>2</v>
      </c>
      <c r="L139" s="6">
        <f>SUMIF(Ratings_Long!$A$2:$A$577,$A139,Ratings_Long!$S$2:$S$577)/COUNTIF(Ratings_Long!$A$2:$A$577,$A139)</f>
        <v>2</v>
      </c>
      <c r="M139" s="6">
        <f t="shared" si="12"/>
        <v>1.4166666666666667</v>
      </c>
      <c r="N139" s="6">
        <f t="shared" si="13"/>
        <v>1.6111111111111114</v>
      </c>
      <c r="O139" s="6">
        <f t="shared" si="14"/>
        <v>-0.11111111111111116</v>
      </c>
    </row>
    <row r="140" spans="1:15">
      <c r="A140" t="s">
        <v>498</v>
      </c>
      <c r="B140" t="s">
        <v>239</v>
      </c>
      <c r="C140" t="s">
        <v>21</v>
      </c>
      <c r="D140" t="s">
        <v>52</v>
      </c>
      <c r="E140" t="s">
        <v>229</v>
      </c>
      <c r="F140" s="6">
        <v>0</v>
      </c>
      <c r="G140" s="6">
        <f>SUMIF(Ratings_Long!$A$2:$A$577,$A140,Ratings_Long!$N$2:$N$577)/COUNTIF(Ratings_Long!$A$2:$A$577,$A140)</f>
        <v>1.3333333333333333</v>
      </c>
      <c r="H140" s="6">
        <f>SUMIF(Ratings_Long!$A$2:$A$577,$A140,Ratings_Long!$O$2:$O$577)/COUNTIF(Ratings_Long!$A$2:$A$577,$A140)</f>
        <v>2</v>
      </c>
      <c r="I140" s="6">
        <f>SUMIF(Ratings_Long!$A$2:$A$577,$A140,Ratings_Long!$P$2:$P$577)/COUNTIF(Ratings_Long!$A$2:$A$577,$A140)</f>
        <v>2</v>
      </c>
      <c r="J140" s="6">
        <f>SUMIF(Ratings_Long!$A$2:$A$577,$A140,Ratings_Long!$Q$2:$Q$577)/COUNTIF(Ratings_Long!$A$2:$A$577,$A140)</f>
        <v>1</v>
      </c>
      <c r="K140" s="6">
        <f>SUMIF(Ratings_Long!$A$2:$A$577,$A140,Ratings_Long!$R$2:$R$577)/COUNTIF(Ratings_Long!$A$2:$A$577,$A140)</f>
        <v>2</v>
      </c>
      <c r="L140" s="6">
        <f>SUMIF(Ratings_Long!$A$2:$A$577,$A140,Ratings_Long!$S$2:$S$577)/COUNTIF(Ratings_Long!$A$2:$A$577,$A140)</f>
        <v>2</v>
      </c>
      <c r="M140" s="6">
        <f t="shared" si="12"/>
        <v>1.5833333333333333</v>
      </c>
      <c r="N140" s="6">
        <f t="shared" si="13"/>
        <v>1.7222222222222221</v>
      </c>
      <c r="O140" s="6">
        <f t="shared" si="14"/>
        <v>-0.11111111111111116</v>
      </c>
    </row>
    <row r="141" spans="1:15">
      <c r="A141" t="s">
        <v>499</v>
      </c>
      <c r="B141" t="s">
        <v>244</v>
      </c>
      <c r="C141" t="s">
        <v>21</v>
      </c>
      <c r="D141" t="s">
        <v>52</v>
      </c>
      <c r="E141" t="s">
        <v>229</v>
      </c>
      <c r="F141" s="6">
        <v>0</v>
      </c>
      <c r="G141" s="6">
        <f>SUMIF(Ratings_Long!$A$2:$A$577,$A141,Ratings_Long!$N$2:$N$577)/COUNTIF(Ratings_Long!$A$2:$A$577,$A141)</f>
        <v>1.3333333333333333</v>
      </c>
      <c r="H141" s="6">
        <f>SUMIF(Ratings_Long!$A$2:$A$577,$A141,Ratings_Long!$O$2:$O$577)/COUNTIF(Ratings_Long!$A$2:$A$577,$A141)</f>
        <v>2</v>
      </c>
      <c r="I141" s="6">
        <f>SUMIF(Ratings_Long!$A$2:$A$577,$A141,Ratings_Long!$P$2:$P$577)/COUNTIF(Ratings_Long!$A$2:$A$577,$A141)</f>
        <v>2</v>
      </c>
      <c r="J141" s="6">
        <f>SUMIF(Ratings_Long!$A$2:$A$577,$A141,Ratings_Long!$Q$2:$Q$577)/COUNTIF(Ratings_Long!$A$2:$A$577,$A141)</f>
        <v>1.3333333333333333</v>
      </c>
      <c r="K141" s="6">
        <f>SUMIF(Ratings_Long!$A$2:$A$577,$A141,Ratings_Long!$R$2:$R$577)/COUNTIF(Ratings_Long!$A$2:$A$577,$A141)</f>
        <v>2</v>
      </c>
      <c r="L141" s="6">
        <f>SUMIF(Ratings_Long!$A$2:$A$577,$A141,Ratings_Long!$S$2:$S$577)/COUNTIF(Ratings_Long!$A$2:$A$577,$A141)</f>
        <v>2.6666666666666665</v>
      </c>
      <c r="M141" s="6">
        <f t="shared" si="12"/>
        <v>1.6666666666666665</v>
      </c>
      <c r="N141" s="6">
        <f t="shared" si="13"/>
        <v>1.8888888888888886</v>
      </c>
      <c r="O141" s="6">
        <f t="shared" si="14"/>
        <v>-0.11111111111111116</v>
      </c>
    </row>
    <row r="142" spans="1:15">
      <c r="A142" t="s">
        <v>500</v>
      </c>
      <c r="B142" t="s">
        <v>249</v>
      </c>
      <c r="C142" t="s">
        <v>21</v>
      </c>
      <c r="D142" t="s">
        <v>52</v>
      </c>
      <c r="E142" t="s">
        <v>250</v>
      </c>
      <c r="F142" s="6">
        <v>0</v>
      </c>
      <c r="G142" s="6">
        <f>SUMIF(Ratings_Long!$A$2:$A$577,$A142,Ratings_Long!$N$2:$N$577)/COUNTIF(Ratings_Long!$A$2:$A$577,$A142)</f>
        <v>1</v>
      </c>
      <c r="H142" s="6">
        <f>SUMIF(Ratings_Long!$A$2:$A$577,$A142,Ratings_Long!$O$2:$O$577)/COUNTIF(Ratings_Long!$A$2:$A$577,$A142)</f>
        <v>2</v>
      </c>
      <c r="I142" s="6">
        <f>SUMIF(Ratings_Long!$A$2:$A$577,$A142,Ratings_Long!$P$2:$P$577)/COUNTIF(Ratings_Long!$A$2:$A$577,$A142)</f>
        <v>2.3333333333333335</v>
      </c>
      <c r="J142" s="6">
        <f>SUMIF(Ratings_Long!$A$2:$A$577,$A142,Ratings_Long!$Q$2:$Q$577)/COUNTIF(Ratings_Long!$A$2:$A$577,$A142)</f>
        <v>1</v>
      </c>
      <c r="K142" s="6">
        <f>SUMIF(Ratings_Long!$A$2:$A$577,$A142,Ratings_Long!$R$2:$R$577)/COUNTIF(Ratings_Long!$A$2:$A$577,$A142)</f>
        <v>1.3333333333333333</v>
      </c>
      <c r="L142" s="6">
        <f>SUMIF(Ratings_Long!$A$2:$A$577,$A142,Ratings_Long!$S$2:$S$577)/COUNTIF(Ratings_Long!$A$2:$A$577,$A142)</f>
        <v>2</v>
      </c>
      <c r="M142" s="6">
        <f t="shared" si="12"/>
        <v>1.5833333333333335</v>
      </c>
      <c r="N142" s="6">
        <f t="shared" si="13"/>
        <v>1.6111111111111114</v>
      </c>
      <c r="O142" s="6">
        <f t="shared" si="14"/>
        <v>-0.33333333333333337</v>
      </c>
    </row>
    <row r="143" spans="1:15">
      <c r="A143" t="s">
        <v>501</v>
      </c>
      <c r="B143" t="s">
        <v>255</v>
      </c>
      <c r="C143" t="s">
        <v>21</v>
      </c>
      <c r="D143" t="s">
        <v>52</v>
      </c>
      <c r="E143" t="s">
        <v>250</v>
      </c>
      <c r="F143" s="6">
        <v>0</v>
      </c>
      <c r="G143" s="6">
        <f>SUMIF(Ratings_Long!$A$2:$A$577,$A143,Ratings_Long!$N$2:$N$577)/COUNTIF(Ratings_Long!$A$2:$A$577,$A143)</f>
        <v>1</v>
      </c>
      <c r="H143" s="6">
        <f>SUMIF(Ratings_Long!$A$2:$A$577,$A143,Ratings_Long!$O$2:$O$577)/COUNTIF(Ratings_Long!$A$2:$A$577,$A143)</f>
        <v>2.3333333333333335</v>
      </c>
      <c r="I143" s="6">
        <f>SUMIF(Ratings_Long!$A$2:$A$577,$A143,Ratings_Long!$P$2:$P$577)/COUNTIF(Ratings_Long!$A$2:$A$577,$A143)</f>
        <v>2.3333333333333335</v>
      </c>
      <c r="J143" s="6">
        <f>SUMIF(Ratings_Long!$A$2:$A$577,$A143,Ratings_Long!$Q$2:$Q$577)/COUNTIF(Ratings_Long!$A$2:$A$577,$A143)</f>
        <v>1</v>
      </c>
      <c r="K143" s="6">
        <f>SUMIF(Ratings_Long!$A$2:$A$577,$A143,Ratings_Long!$R$2:$R$577)/COUNTIF(Ratings_Long!$A$2:$A$577,$A143)</f>
        <v>1</v>
      </c>
      <c r="L143" s="6">
        <f>SUMIF(Ratings_Long!$A$2:$A$577,$A143,Ratings_Long!$S$2:$S$577)/COUNTIF(Ratings_Long!$A$2:$A$577,$A143)</f>
        <v>2.6666666666666665</v>
      </c>
      <c r="M143" s="6">
        <f t="shared" si="12"/>
        <v>1.6666666666666667</v>
      </c>
      <c r="N143" s="6">
        <f t="shared" si="13"/>
        <v>1.7222222222222223</v>
      </c>
      <c r="O143" s="6">
        <f t="shared" si="14"/>
        <v>-0.33333333333333337</v>
      </c>
    </row>
    <row r="144" spans="1:15">
      <c r="A144" t="s">
        <v>502</v>
      </c>
      <c r="B144" t="s">
        <v>260</v>
      </c>
      <c r="C144" t="s">
        <v>21</v>
      </c>
      <c r="D144" t="s">
        <v>52</v>
      </c>
      <c r="E144" t="s">
        <v>250</v>
      </c>
      <c r="F144" s="6">
        <v>0</v>
      </c>
      <c r="G144" s="6">
        <f>SUMIF(Ratings_Long!$A$2:$A$577,$A144,Ratings_Long!$N$2:$N$577)/COUNTIF(Ratings_Long!$A$2:$A$577,$A144)</f>
        <v>2</v>
      </c>
      <c r="H144" s="6">
        <f>SUMIF(Ratings_Long!$A$2:$A$577,$A144,Ratings_Long!$O$2:$O$577)/COUNTIF(Ratings_Long!$A$2:$A$577,$A144)</f>
        <v>1.6666666666666667</v>
      </c>
      <c r="I144" s="6">
        <f>SUMIF(Ratings_Long!$A$2:$A$577,$A144,Ratings_Long!$P$2:$P$577)/COUNTIF(Ratings_Long!$A$2:$A$577,$A144)</f>
        <v>2</v>
      </c>
      <c r="J144" s="6">
        <f>SUMIF(Ratings_Long!$A$2:$A$577,$A144,Ratings_Long!$Q$2:$Q$577)/COUNTIF(Ratings_Long!$A$2:$A$577,$A144)</f>
        <v>2.6666666666666665</v>
      </c>
      <c r="K144" s="6">
        <f>SUMIF(Ratings_Long!$A$2:$A$577,$A144,Ratings_Long!$R$2:$R$577)/COUNTIF(Ratings_Long!$A$2:$A$577,$A144)</f>
        <v>1.3333333333333333</v>
      </c>
      <c r="L144" s="6">
        <f>SUMIF(Ratings_Long!$A$2:$A$577,$A144,Ratings_Long!$S$2:$S$577)/COUNTIF(Ratings_Long!$A$2:$A$577,$A144)</f>
        <v>2.6666666666666665</v>
      </c>
      <c r="M144" s="6">
        <f t="shared" si="12"/>
        <v>2.0833333333333335</v>
      </c>
      <c r="N144" s="6">
        <f t="shared" si="13"/>
        <v>2.0555555555555558</v>
      </c>
      <c r="O144" s="6">
        <f t="shared" si="14"/>
        <v>0.33333333333333326</v>
      </c>
    </row>
    <row r="145" spans="1:15">
      <c r="A145" t="s">
        <v>503</v>
      </c>
      <c r="B145" t="s">
        <v>265</v>
      </c>
      <c r="C145" t="s">
        <v>21</v>
      </c>
      <c r="D145" t="s">
        <v>52</v>
      </c>
      <c r="E145" t="s">
        <v>250</v>
      </c>
      <c r="F145" s="6">
        <v>0</v>
      </c>
      <c r="G145" s="6">
        <f>SUMIF(Ratings_Long!$A$2:$A$577,$A145,Ratings_Long!$N$2:$N$577)/COUNTIF(Ratings_Long!$A$2:$A$577,$A145)</f>
        <v>2</v>
      </c>
      <c r="H145" s="6">
        <f>SUMIF(Ratings_Long!$A$2:$A$577,$A145,Ratings_Long!$O$2:$O$577)/COUNTIF(Ratings_Long!$A$2:$A$577,$A145)</f>
        <v>2</v>
      </c>
      <c r="I145" s="6">
        <f>SUMIF(Ratings_Long!$A$2:$A$577,$A145,Ratings_Long!$P$2:$P$577)/COUNTIF(Ratings_Long!$A$2:$A$577,$A145)</f>
        <v>2</v>
      </c>
      <c r="J145" s="6">
        <f>SUMIF(Ratings_Long!$A$2:$A$577,$A145,Ratings_Long!$Q$2:$Q$577)/COUNTIF(Ratings_Long!$A$2:$A$577,$A145)</f>
        <v>2</v>
      </c>
      <c r="K145" s="6">
        <f>SUMIF(Ratings_Long!$A$2:$A$577,$A145,Ratings_Long!$R$2:$R$577)/COUNTIF(Ratings_Long!$A$2:$A$577,$A145)</f>
        <v>2</v>
      </c>
      <c r="L145" s="6">
        <f>SUMIF(Ratings_Long!$A$2:$A$577,$A145,Ratings_Long!$S$2:$S$577)/COUNTIF(Ratings_Long!$A$2:$A$577,$A145)</f>
        <v>2</v>
      </c>
      <c r="M145" s="6">
        <f t="shared" si="12"/>
        <v>2</v>
      </c>
      <c r="N145" s="6">
        <f t="shared" si="13"/>
        <v>2</v>
      </c>
      <c r="O145" s="6">
        <f t="shared" si="14"/>
        <v>0.33333333333333326</v>
      </c>
    </row>
    <row r="146" spans="1:15">
      <c r="A146" t="s">
        <v>504</v>
      </c>
      <c r="B146" t="s">
        <v>142</v>
      </c>
      <c r="C146" t="s">
        <v>22</v>
      </c>
      <c r="D146" t="s">
        <v>53</v>
      </c>
      <c r="E146" t="s">
        <v>143</v>
      </c>
      <c r="F146" s="6">
        <v>-0.114286</v>
      </c>
      <c r="G146" s="6">
        <f>SUMIF(Ratings_Long!$A$2:$A$577,$A146,Ratings_Long!$N$2:$N$577)/COUNTIF(Ratings_Long!$A$2:$A$577,$A146)</f>
        <v>0</v>
      </c>
      <c r="H146" s="6">
        <f>SUMIF(Ratings_Long!$A$2:$A$577,$A146,Ratings_Long!$O$2:$O$577)/COUNTIF(Ratings_Long!$A$2:$A$577,$A146)</f>
        <v>3</v>
      </c>
      <c r="I146" s="6">
        <f>SUMIF(Ratings_Long!$A$2:$A$577,$A146,Ratings_Long!$P$2:$P$577)/COUNTIF(Ratings_Long!$A$2:$A$577,$A146)</f>
        <v>2.6666666666666665</v>
      </c>
      <c r="J146" s="6">
        <f>SUMIF(Ratings_Long!$A$2:$A$577,$A146,Ratings_Long!$Q$2:$Q$577)/COUNTIF(Ratings_Long!$A$2:$A$577,$A146)</f>
        <v>0</v>
      </c>
      <c r="K146" s="6">
        <f>SUMIF(Ratings_Long!$A$2:$A$577,$A146,Ratings_Long!$R$2:$R$577)/COUNTIF(Ratings_Long!$A$2:$A$577,$A146)</f>
        <v>3</v>
      </c>
      <c r="L146" s="6">
        <f>SUMIF(Ratings_Long!$A$2:$A$577,$A146,Ratings_Long!$S$2:$S$577)/COUNTIF(Ratings_Long!$A$2:$A$577,$A146)</f>
        <v>3</v>
      </c>
      <c r="M146" s="6">
        <f t="shared" si="12"/>
        <v>1.4166666666666665</v>
      </c>
      <c r="N146" s="6">
        <f t="shared" si="13"/>
        <v>1.9444444444444444</v>
      </c>
      <c r="O146" s="6">
        <f t="shared" si="14"/>
        <v>-1</v>
      </c>
    </row>
    <row r="147" spans="1:15">
      <c r="A147" t="s">
        <v>506</v>
      </c>
      <c r="B147" t="s">
        <v>149</v>
      </c>
      <c r="C147" t="s">
        <v>22</v>
      </c>
      <c r="D147" t="s">
        <v>53</v>
      </c>
      <c r="E147" t="s">
        <v>143</v>
      </c>
      <c r="F147" s="6">
        <v>-0.114286</v>
      </c>
      <c r="G147" s="6">
        <f>SUMIF(Ratings_Long!$A$2:$A$577,$A147,Ratings_Long!$N$2:$N$577)/COUNTIF(Ratings_Long!$A$2:$A$577,$A147)</f>
        <v>0</v>
      </c>
      <c r="H147" s="6">
        <f>SUMIF(Ratings_Long!$A$2:$A$577,$A147,Ratings_Long!$O$2:$O$577)/COUNTIF(Ratings_Long!$A$2:$A$577,$A147)</f>
        <v>2.3333333333333335</v>
      </c>
      <c r="I147" s="6">
        <f>SUMIF(Ratings_Long!$A$2:$A$577,$A147,Ratings_Long!$P$2:$P$577)/COUNTIF(Ratings_Long!$A$2:$A$577,$A147)</f>
        <v>3</v>
      </c>
      <c r="J147" s="6">
        <f>SUMIF(Ratings_Long!$A$2:$A$577,$A147,Ratings_Long!$Q$2:$Q$577)/COUNTIF(Ratings_Long!$A$2:$A$577,$A147)</f>
        <v>0.66666666666666663</v>
      </c>
      <c r="K147" s="6">
        <f>SUMIF(Ratings_Long!$A$2:$A$577,$A147,Ratings_Long!$R$2:$R$577)/COUNTIF(Ratings_Long!$A$2:$A$577,$A147)</f>
        <v>2</v>
      </c>
      <c r="L147" s="6">
        <f>SUMIF(Ratings_Long!$A$2:$A$577,$A147,Ratings_Long!$S$2:$S$577)/COUNTIF(Ratings_Long!$A$2:$A$577,$A147)</f>
        <v>2.6666666666666665</v>
      </c>
      <c r="M147" s="6">
        <f t="shared" si="12"/>
        <v>1.5000000000000002</v>
      </c>
      <c r="N147" s="6">
        <f t="shared" si="13"/>
        <v>1.7777777777777777</v>
      </c>
      <c r="O147" s="6">
        <f t="shared" si="14"/>
        <v>-1</v>
      </c>
    </row>
    <row r="148" spans="1:15">
      <c r="A148" t="s">
        <v>508</v>
      </c>
      <c r="B148" t="s">
        <v>154</v>
      </c>
      <c r="C148" t="s">
        <v>22</v>
      </c>
      <c r="D148" t="s">
        <v>53</v>
      </c>
      <c r="E148" t="s">
        <v>143</v>
      </c>
      <c r="F148" s="6">
        <v>-0.121212</v>
      </c>
      <c r="G148" s="6">
        <f>SUMIF(Ratings_Long!$A$2:$A$577,$A148,Ratings_Long!$N$2:$N$577)/COUNTIF(Ratings_Long!$A$2:$A$577,$A148)</f>
        <v>0.66666666666666663</v>
      </c>
      <c r="H148" s="6">
        <f>SUMIF(Ratings_Long!$A$2:$A$577,$A148,Ratings_Long!$O$2:$O$577)/COUNTIF(Ratings_Long!$A$2:$A$577,$A148)</f>
        <v>3</v>
      </c>
      <c r="I148" s="6">
        <f>SUMIF(Ratings_Long!$A$2:$A$577,$A148,Ratings_Long!$P$2:$P$577)/COUNTIF(Ratings_Long!$A$2:$A$577,$A148)</f>
        <v>3</v>
      </c>
      <c r="J148" s="6">
        <f>SUMIF(Ratings_Long!$A$2:$A$577,$A148,Ratings_Long!$Q$2:$Q$577)/COUNTIF(Ratings_Long!$A$2:$A$577,$A148)</f>
        <v>0.33333333333333331</v>
      </c>
      <c r="K148" s="6">
        <f>SUMIF(Ratings_Long!$A$2:$A$577,$A148,Ratings_Long!$R$2:$R$577)/COUNTIF(Ratings_Long!$A$2:$A$577,$A148)</f>
        <v>3</v>
      </c>
      <c r="L148" s="6">
        <f>SUMIF(Ratings_Long!$A$2:$A$577,$A148,Ratings_Long!$S$2:$S$577)/COUNTIF(Ratings_Long!$A$2:$A$577,$A148)</f>
        <v>3</v>
      </c>
      <c r="M148" s="6">
        <f t="shared" si="12"/>
        <v>1.7499999999999998</v>
      </c>
      <c r="N148" s="6">
        <f t="shared" si="13"/>
        <v>2.1666666666666665</v>
      </c>
      <c r="O148" s="6">
        <f t="shared" si="14"/>
        <v>-0.55555555555555558</v>
      </c>
    </row>
    <row r="149" spans="1:15">
      <c r="A149" t="s">
        <v>509</v>
      </c>
      <c r="B149" t="s">
        <v>160</v>
      </c>
      <c r="C149" t="s">
        <v>22</v>
      </c>
      <c r="D149" t="s">
        <v>53</v>
      </c>
      <c r="E149" t="s">
        <v>143</v>
      </c>
      <c r="F149" s="6">
        <v>-0.117647</v>
      </c>
      <c r="G149" s="6">
        <f>SUMIF(Ratings_Long!$A$2:$A$577,$A149,Ratings_Long!$N$2:$N$577)/COUNTIF(Ratings_Long!$A$2:$A$577,$A149)</f>
        <v>0</v>
      </c>
      <c r="H149" s="6">
        <f>SUMIF(Ratings_Long!$A$2:$A$577,$A149,Ratings_Long!$O$2:$O$577)/COUNTIF(Ratings_Long!$A$2:$A$577,$A149)</f>
        <v>2</v>
      </c>
      <c r="I149" s="6">
        <f>SUMIF(Ratings_Long!$A$2:$A$577,$A149,Ratings_Long!$P$2:$P$577)/COUNTIF(Ratings_Long!$A$2:$A$577,$A149)</f>
        <v>1.6666666666666667</v>
      </c>
      <c r="J149" s="6">
        <f>SUMIF(Ratings_Long!$A$2:$A$577,$A149,Ratings_Long!$Q$2:$Q$577)/COUNTIF(Ratings_Long!$A$2:$A$577,$A149)</f>
        <v>0</v>
      </c>
      <c r="K149" s="6">
        <f>SUMIF(Ratings_Long!$A$2:$A$577,$A149,Ratings_Long!$R$2:$R$577)/COUNTIF(Ratings_Long!$A$2:$A$577,$A149)</f>
        <v>1.6666666666666667</v>
      </c>
      <c r="L149" s="6">
        <f>SUMIF(Ratings_Long!$A$2:$A$577,$A149,Ratings_Long!$S$2:$S$577)/COUNTIF(Ratings_Long!$A$2:$A$577,$A149)</f>
        <v>2</v>
      </c>
      <c r="M149" s="6">
        <f t="shared" si="12"/>
        <v>0.91666666666666674</v>
      </c>
      <c r="N149" s="6">
        <f t="shared" si="13"/>
        <v>1.2222222222222223</v>
      </c>
      <c r="O149" s="6">
        <f t="shared" si="14"/>
        <v>-1</v>
      </c>
    </row>
    <row r="150" spans="1:15">
      <c r="A150" t="s">
        <v>511</v>
      </c>
      <c r="B150" t="s">
        <v>165</v>
      </c>
      <c r="C150" t="s">
        <v>22</v>
      </c>
      <c r="D150" t="s">
        <v>53</v>
      </c>
      <c r="E150" t="s">
        <v>166</v>
      </c>
      <c r="F150" s="6">
        <v>-0.111111</v>
      </c>
      <c r="G150" s="6">
        <f>SUMIF(Ratings_Long!$A$2:$A$577,$A150,Ratings_Long!$N$2:$N$577)/COUNTIF(Ratings_Long!$A$2:$A$577,$A150)</f>
        <v>0</v>
      </c>
      <c r="H150" s="6">
        <f>SUMIF(Ratings_Long!$A$2:$A$577,$A150,Ratings_Long!$O$2:$O$577)/COUNTIF(Ratings_Long!$A$2:$A$577,$A150)</f>
        <v>3</v>
      </c>
      <c r="I150" s="6">
        <f>SUMIF(Ratings_Long!$A$2:$A$577,$A150,Ratings_Long!$P$2:$P$577)/COUNTIF(Ratings_Long!$A$2:$A$577,$A150)</f>
        <v>3</v>
      </c>
      <c r="J150" s="6">
        <f>SUMIF(Ratings_Long!$A$2:$A$577,$A150,Ratings_Long!$Q$2:$Q$577)/COUNTIF(Ratings_Long!$A$2:$A$577,$A150)</f>
        <v>0.33333333333333331</v>
      </c>
      <c r="K150" s="6">
        <f>SUMIF(Ratings_Long!$A$2:$A$577,$A150,Ratings_Long!$R$2:$R$577)/COUNTIF(Ratings_Long!$A$2:$A$577,$A150)</f>
        <v>2.3333333333333335</v>
      </c>
      <c r="L150" s="6">
        <f>SUMIF(Ratings_Long!$A$2:$A$577,$A150,Ratings_Long!$S$2:$S$577)/COUNTIF(Ratings_Long!$A$2:$A$577,$A150)</f>
        <v>2.3333333333333335</v>
      </c>
      <c r="M150" s="6">
        <f t="shared" si="12"/>
        <v>1.5833333333333333</v>
      </c>
      <c r="N150" s="6">
        <f t="shared" si="13"/>
        <v>1.8333333333333333</v>
      </c>
      <c r="O150" s="6">
        <f t="shared" si="14"/>
        <v>-1</v>
      </c>
    </row>
    <row r="151" spans="1:15">
      <c r="A151" t="s">
        <v>513</v>
      </c>
      <c r="B151" t="s">
        <v>171</v>
      </c>
      <c r="C151" t="s">
        <v>22</v>
      </c>
      <c r="D151" t="s">
        <v>53</v>
      </c>
      <c r="E151" t="s">
        <v>166</v>
      </c>
      <c r="F151" s="6">
        <v>-0.114286</v>
      </c>
      <c r="G151" s="6">
        <f>SUMIF(Ratings_Long!$A$2:$A$577,$A151,Ratings_Long!$N$2:$N$577)/COUNTIF(Ratings_Long!$A$2:$A$577,$A151)</f>
        <v>1</v>
      </c>
      <c r="H151" s="6">
        <f>SUMIF(Ratings_Long!$A$2:$A$577,$A151,Ratings_Long!$O$2:$O$577)/COUNTIF(Ratings_Long!$A$2:$A$577,$A151)</f>
        <v>3</v>
      </c>
      <c r="I151" s="6">
        <f>SUMIF(Ratings_Long!$A$2:$A$577,$A151,Ratings_Long!$P$2:$P$577)/COUNTIF(Ratings_Long!$A$2:$A$577,$A151)</f>
        <v>3</v>
      </c>
      <c r="J151" s="6">
        <f>SUMIF(Ratings_Long!$A$2:$A$577,$A151,Ratings_Long!$Q$2:$Q$577)/COUNTIF(Ratings_Long!$A$2:$A$577,$A151)</f>
        <v>1</v>
      </c>
      <c r="K151" s="6">
        <f>SUMIF(Ratings_Long!$A$2:$A$577,$A151,Ratings_Long!$R$2:$R$577)/COUNTIF(Ratings_Long!$A$2:$A$577,$A151)</f>
        <v>2.3333333333333335</v>
      </c>
      <c r="L151" s="6">
        <f>SUMIF(Ratings_Long!$A$2:$A$577,$A151,Ratings_Long!$S$2:$S$577)/COUNTIF(Ratings_Long!$A$2:$A$577,$A151)</f>
        <v>3</v>
      </c>
      <c r="M151" s="6">
        <f t="shared" si="12"/>
        <v>2</v>
      </c>
      <c r="N151" s="6">
        <f t="shared" si="13"/>
        <v>2.2222222222222223</v>
      </c>
      <c r="O151" s="6">
        <f t="shared" si="14"/>
        <v>-0.33333333333333337</v>
      </c>
    </row>
    <row r="152" spans="1:15">
      <c r="A152" t="s">
        <v>515</v>
      </c>
      <c r="B152" t="s">
        <v>176</v>
      </c>
      <c r="C152" t="s">
        <v>22</v>
      </c>
      <c r="D152" t="s">
        <v>53</v>
      </c>
      <c r="E152" t="s">
        <v>166</v>
      </c>
      <c r="F152" s="6">
        <v>-8.8234999999999994E-2</v>
      </c>
      <c r="G152" s="6">
        <f>SUMIF(Ratings_Long!$A$2:$A$577,$A152,Ratings_Long!$N$2:$N$577)/COUNTIF(Ratings_Long!$A$2:$A$577,$A152)</f>
        <v>0</v>
      </c>
      <c r="H152" s="6">
        <f>SUMIF(Ratings_Long!$A$2:$A$577,$A152,Ratings_Long!$O$2:$O$577)/COUNTIF(Ratings_Long!$A$2:$A$577,$A152)</f>
        <v>3</v>
      </c>
      <c r="I152" s="6">
        <f>SUMIF(Ratings_Long!$A$2:$A$577,$A152,Ratings_Long!$P$2:$P$577)/COUNTIF(Ratings_Long!$A$2:$A$577,$A152)</f>
        <v>3</v>
      </c>
      <c r="J152" s="6">
        <f>SUMIF(Ratings_Long!$A$2:$A$577,$A152,Ratings_Long!$Q$2:$Q$577)/COUNTIF(Ratings_Long!$A$2:$A$577,$A152)</f>
        <v>0</v>
      </c>
      <c r="K152" s="6">
        <f>SUMIF(Ratings_Long!$A$2:$A$577,$A152,Ratings_Long!$R$2:$R$577)/COUNTIF(Ratings_Long!$A$2:$A$577,$A152)</f>
        <v>3</v>
      </c>
      <c r="L152" s="6">
        <f>SUMIF(Ratings_Long!$A$2:$A$577,$A152,Ratings_Long!$S$2:$S$577)/COUNTIF(Ratings_Long!$A$2:$A$577,$A152)</f>
        <v>3</v>
      </c>
      <c r="M152" s="6">
        <f t="shared" si="12"/>
        <v>1.5</v>
      </c>
      <c r="N152" s="6">
        <f t="shared" si="13"/>
        <v>2</v>
      </c>
      <c r="O152" s="6">
        <f t="shared" si="14"/>
        <v>-1</v>
      </c>
    </row>
    <row r="153" spans="1:15">
      <c r="A153" t="s">
        <v>517</v>
      </c>
      <c r="B153" t="s">
        <v>181</v>
      </c>
      <c r="C153" t="s">
        <v>22</v>
      </c>
      <c r="D153" t="s">
        <v>53</v>
      </c>
      <c r="E153" t="s">
        <v>166</v>
      </c>
      <c r="F153" s="6">
        <v>-0.125</v>
      </c>
      <c r="G153" s="6">
        <f>SUMIF(Ratings_Long!$A$2:$A$577,$A153,Ratings_Long!$N$2:$N$577)/COUNTIF(Ratings_Long!$A$2:$A$577,$A153)</f>
        <v>0</v>
      </c>
      <c r="H153" s="6">
        <f>SUMIF(Ratings_Long!$A$2:$A$577,$A153,Ratings_Long!$O$2:$O$577)/COUNTIF(Ratings_Long!$A$2:$A$577,$A153)</f>
        <v>3</v>
      </c>
      <c r="I153" s="6">
        <f>SUMIF(Ratings_Long!$A$2:$A$577,$A153,Ratings_Long!$P$2:$P$577)/COUNTIF(Ratings_Long!$A$2:$A$577,$A153)</f>
        <v>3</v>
      </c>
      <c r="J153" s="6">
        <f>SUMIF(Ratings_Long!$A$2:$A$577,$A153,Ratings_Long!$Q$2:$Q$577)/COUNTIF(Ratings_Long!$A$2:$A$577,$A153)</f>
        <v>1</v>
      </c>
      <c r="K153" s="6">
        <f>SUMIF(Ratings_Long!$A$2:$A$577,$A153,Ratings_Long!$R$2:$R$577)/COUNTIF(Ratings_Long!$A$2:$A$577,$A153)</f>
        <v>2.6666666666666665</v>
      </c>
      <c r="L153" s="6">
        <f>SUMIF(Ratings_Long!$A$2:$A$577,$A153,Ratings_Long!$S$2:$S$577)/COUNTIF(Ratings_Long!$A$2:$A$577,$A153)</f>
        <v>3</v>
      </c>
      <c r="M153" s="6">
        <f t="shared" si="12"/>
        <v>1.75</v>
      </c>
      <c r="N153" s="6">
        <f t="shared" si="13"/>
        <v>2.1111111111111112</v>
      </c>
      <c r="O153" s="6">
        <f t="shared" si="14"/>
        <v>-1</v>
      </c>
    </row>
    <row r="154" spans="1:15">
      <c r="A154" t="s">
        <v>518</v>
      </c>
      <c r="B154" t="s">
        <v>186</v>
      </c>
      <c r="C154" t="s">
        <v>22</v>
      </c>
      <c r="D154" t="s">
        <v>53</v>
      </c>
      <c r="E154" t="s">
        <v>187</v>
      </c>
      <c r="F154" s="6">
        <v>-8.5713999999999999E-2</v>
      </c>
      <c r="G154" s="6">
        <f>SUMIF(Ratings_Long!$A$2:$A$577,$A154,Ratings_Long!$N$2:$N$577)/COUNTIF(Ratings_Long!$A$2:$A$577,$A154)</f>
        <v>0</v>
      </c>
      <c r="H154" s="6">
        <f>SUMIF(Ratings_Long!$A$2:$A$577,$A154,Ratings_Long!$O$2:$O$577)/COUNTIF(Ratings_Long!$A$2:$A$577,$A154)</f>
        <v>2.6666666666666665</v>
      </c>
      <c r="I154" s="6">
        <f>SUMIF(Ratings_Long!$A$2:$A$577,$A154,Ratings_Long!$P$2:$P$577)/COUNTIF(Ratings_Long!$A$2:$A$577,$A154)</f>
        <v>3</v>
      </c>
      <c r="J154" s="6">
        <f>SUMIF(Ratings_Long!$A$2:$A$577,$A154,Ratings_Long!$Q$2:$Q$577)/COUNTIF(Ratings_Long!$A$2:$A$577,$A154)</f>
        <v>0</v>
      </c>
      <c r="K154" s="6">
        <f>SUMIF(Ratings_Long!$A$2:$A$577,$A154,Ratings_Long!$R$2:$R$577)/COUNTIF(Ratings_Long!$A$2:$A$577,$A154)</f>
        <v>3</v>
      </c>
      <c r="L154" s="6">
        <f>SUMIF(Ratings_Long!$A$2:$A$577,$A154,Ratings_Long!$S$2:$S$577)/COUNTIF(Ratings_Long!$A$2:$A$577,$A154)</f>
        <v>2</v>
      </c>
      <c r="M154" s="6">
        <f t="shared" si="12"/>
        <v>1.4166666666666665</v>
      </c>
      <c r="N154" s="6">
        <f t="shared" si="13"/>
        <v>1.7777777777777777</v>
      </c>
      <c r="O154" s="6">
        <f t="shared" si="14"/>
        <v>-1</v>
      </c>
    </row>
    <row r="155" spans="1:15">
      <c r="A155" t="s">
        <v>519</v>
      </c>
      <c r="B155" t="s">
        <v>192</v>
      </c>
      <c r="C155" t="s">
        <v>22</v>
      </c>
      <c r="D155" t="s">
        <v>53</v>
      </c>
      <c r="E155" t="s">
        <v>187</v>
      </c>
      <c r="F155" s="6">
        <v>-0.111111</v>
      </c>
      <c r="G155" s="6">
        <f>SUMIF(Ratings_Long!$A$2:$A$577,$A155,Ratings_Long!$N$2:$N$577)/COUNTIF(Ratings_Long!$A$2:$A$577,$A155)</f>
        <v>0</v>
      </c>
      <c r="H155" s="6">
        <f>SUMIF(Ratings_Long!$A$2:$A$577,$A155,Ratings_Long!$O$2:$O$577)/COUNTIF(Ratings_Long!$A$2:$A$577,$A155)</f>
        <v>3</v>
      </c>
      <c r="I155" s="6">
        <f>SUMIF(Ratings_Long!$A$2:$A$577,$A155,Ratings_Long!$P$2:$P$577)/COUNTIF(Ratings_Long!$A$2:$A$577,$A155)</f>
        <v>3</v>
      </c>
      <c r="J155" s="6">
        <f>SUMIF(Ratings_Long!$A$2:$A$577,$A155,Ratings_Long!$Q$2:$Q$577)/COUNTIF(Ratings_Long!$A$2:$A$577,$A155)</f>
        <v>0</v>
      </c>
      <c r="K155" s="6">
        <f>SUMIF(Ratings_Long!$A$2:$A$577,$A155,Ratings_Long!$R$2:$R$577)/COUNTIF(Ratings_Long!$A$2:$A$577,$A155)</f>
        <v>2</v>
      </c>
      <c r="L155" s="6">
        <f>SUMIF(Ratings_Long!$A$2:$A$577,$A155,Ratings_Long!$S$2:$S$577)/COUNTIF(Ratings_Long!$A$2:$A$577,$A155)</f>
        <v>3</v>
      </c>
      <c r="M155" s="6">
        <f t="shared" si="12"/>
        <v>1.5</v>
      </c>
      <c r="N155" s="6">
        <f t="shared" si="13"/>
        <v>1.8333333333333333</v>
      </c>
      <c r="O155" s="6">
        <f t="shared" si="14"/>
        <v>-1</v>
      </c>
    </row>
    <row r="156" spans="1:15">
      <c r="A156" t="s">
        <v>520</v>
      </c>
      <c r="B156" t="s">
        <v>197</v>
      </c>
      <c r="C156" t="s">
        <v>22</v>
      </c>
      <c r="D156" t="s">
        <v>53</v>
      </c>
      <c r="E156" t="s">
        <v>187</v>
      </c>
      <c r="F156" s="6">
        <v>-8.8234999999999994E-2</v>
      </c>
      <c r="G156" s="6">
        <f>SUMIF(Ratings_Long!$A$2:$A$577,$A156,Ratings_Long!$N$2:$N$577)/COUNTIF(Ratings_Long!$A$2:$A$577,$A156)</f>
        <v>0.66666666666666663</v>
      </c>
      <c r="H156" s="6">
        <f>SUMIF(Ratings_Long!$A$2:$A$577,$A156,Ratings_Long!$O$2:$O$577)/COUNTIF(Ratings_Long!$A$2:$A$577,$A156)</f>
        <v>2.6666666666666665</v>
      </c>
      <c r="I156" s="6">
        <f>SUMIF(Ratings_Long!$A$2:$A$577,$A156,Ratings_Long!$P$2:$P$577)/COUNTIF(Ratings_Long!$A$2:$A$577,$A156)</f>
        <v>3</v>
      </c>
      <c r="J156" s="6">
        <f>SUMIF(Ratings_Long!$A$2:$A$577,$A156,Ratings_Long!$Q$2:$Q$577)/COUNTIF(Ratings_Long!$A$2:$A$577,$A156)</f>
        <v>0.66666666666666663</v>
      </c>
      <c r="K156" s="6">
        <f>SUMIF(Ratings_Long!$A$2:$A$577,$A156,Ratings_Long!$R$2:$R$577)/COUNTIF(Ratings_Long!$A$2:$A$577,$A156)</f>
        <v>2</v>
      </c>
      <c r="L156" s="6">
        <f>SUMIF(Ratings_Long!$A$2:$A$577,$A156,Ratings_Long!$S$2:$S$577)/COUNTIF(Ratings_Long!$A$2:$A$577,$A156)</f>
        <v>2</v>
      </c>
      <c r="M156" s="6">
        <f t="shared" si="12"/>
        <v>1.75</v>
      </c>
      <c r="N156" s="6">
        <f t="shared" si="13"/>
        <v>1.8333333333333333</v>
      </c>
      <c r="O156" s="6">
        <f t="shared" si="14"/>
        <v>-0.55555555555555558</v>
      </c>
    </row>
    <row r="157" spans="1:15">
      <c r="A157" t="s">
        <v>521</v>
      </c>
      <c r="B157" t="s">
        <v>202</v>
      </c>
      <c r="C157" t="s">
        <v>22</v>
      </c>
      <c r="D157" t="s">
        <v>53</v>
      </c>
      <c r="E157" t="s">
        <v>187</v>
      </c>
      <c r="F157" s="6">
        <v>-9.375E-2</v>
      </c>
      <c r="G157" s="6">
        <f>SUMIF(Ratings_Long!$A$2:$A$577,$A157,Ratings_Long!$N$2:$N$577)/COUNTIF(Ratings_Long!$A$2:$A$577,$A157)</f>
        <v>1.3333333333333333</v>
      </c>
      <c r="H157" s="6">
        <f>SUMIF(Ratings_Long!$A$2:$A$577,$A157,Ratings_Long!$O$2:$O$577)/COUNTIF(Ratings_Long!$A$2:$A$577,$A157)</f>
        <v>3</v>
      </c>
      <c r="I157" s="6">
        <f>SUMIF(Ratings_Long!$A$2:$A$577,$A157,Ratings_Long!$P$2:$P$577)/COUNTIF(Ratings_Long!$A$2:$A$577,$A157)</f>
        <v>3</v>
      </c>
      <c r="J157" s="6">
        <f>SUMIF(Ratings_Long!$A$2:$A$577,$A157,Ratings_Long!$Q$2:$Q$577)/COUNTIF(Ratings_Long!$A$2:$A$577,$A157)</f>
        <v>1</v>
      </c>
      <c r="K157" s="6">
        <f>SUMIF(Ratings_Long!$A$2:$A$577,$A157,Ratings_Long!$R$2:$R$577)/COUNTIF(Ratings_Long!$A$2:$A$577,$A157)</f>
        <v>2</v>
      </c>
      <c r="L157" s="6">
        <f>SUMIF(Ratings_Long!$A$2:$A$577,$A157,Ratings_Long!$S$2:$S$577)/COUNTIF(Ratings_Long!$A$2:$A$577,$A157)</f>
        <v>3</v>
      </c>
      <c r="M157" s="6">
        <f t="shared" si="12"/>
        <v>2.083333333333333</v>
      </c>
      <c r="N157" s="6">
        <f t="shared" si="13"/>
        <v>2.2222222222222219</v>
      </c>
      <c r="O157" s="6">
        <f t="shared" si="14"/>
        <v>-0.11111111111111116</v>
      </c>
    </row>
    <row r="158" spans="1:15">
      <c r="A158" t="s">
        <v>522</v>
      </c>
      <c r="B158" t="s">
        <v>207</v>
      </c>
      <c r="C158" t="s">
        <v>22</v>
      </c>
      <c r="D158" t="s">
        <v>53</v>
      </c>
      <c r="E158" t="s">
        <v>208</v>
      </c>
      <c r="F158" s="6">
        <v>-9.0909000000000004E-2</v>
      </c>
      <c r="G158" s="6">
        <f>SUMIF(Ratings_Long!$A$2:$A$577,$A158,Ratings_Long!$N$2:$N$577)/COUNTIF(Ratings_Long!$A$2:$A$577,$A158)</f>
        <v>1</v>
      </c>
      <c r="H158" s="6">
        <f>SUMIF(Ratings_Long!$A$2:$A$577,$A158,Ratings_Long!$O$2:$O$577)/COUNTIF(Ratings_Long!$A$2:$A$577,$A158)</f>
        <v>2</v>
      </c>
      <c r="I158" s="6">
        <f>SUMIF(Ratings_Long!$A$2:$A$577,$A158,Ratings_Long!$P$2:$P$577)/COUNTIF(Ratings_Long!$A$2:$A$577,$A158)</f>
        <v>2</v>
      </c>
      <c r="J158" s="6">
        <f>SUMIF(Ratings_Long!$A$2:$A$577,$A158,Ratings_Long!$Q$2:$Q$577)/COUNTIF(Ratings_Long!$A$2:$A$577,$A158)</f>
        <v>1</v>
      </c>
      <c r="K158" s="6">
        <f>SUMIF(Ratings_Long!$A$2:$A$577,$A158,Ratings_Long!$R$2:$R$577)/COUNTIF(Ratings_Long!$A$2:$A$577,$A158)</f>
        <v>2</v>
      </c>
      <c r="L158" s="6">
        <f>SUMIF(Ratings_Long!$A$2:$A$577,$A158,Ratings_Long!$S$2:$S$577)/COUNTIF(Ratings_Long!$A$2:$A$577,$A158)</f>
        <v>2</v>
      </c>
      <c r="M158" s="6">
        <f t="shared" si="12"/>
        <v>1.5</v>
      </c>
      <c r="N158" s="6">
        <f t="shared" si="13"/>
        <v>1.6666666666666667</v>
      </c>
      <c r="O158" s="6">
        <f t="shared" si="14"/>
        <v>-0.33333333333333337</v>
      </c>
    </row>
    <row r="159" spans="1:15">
      <c r="A159" t="s">
        <v>523</v>
      </c>
      <c r="B159" t="s">
        <v>213</v>
      </c>
      <c r="C159" t="s">
        <v>22</v>
      </c>
      <c r="D159" t="s">
        <v>53</v>
      </c>
      <c r="E159" t="s">
        <v>208</v>
      </c>
      <c r="F159" s="6">
        <v>-0.1</v>
      </c>
      <c r="G159" s="6">
        <f>SUMIF(Ratings_Long!$A$2:$A$577,$A159,Ratings_Long!$N$2:$N$577)/COUNTIF(Ratings_Long!$A$2:$A$577,$A159)</f>
        <v>0</v>
      </c>
      <c r="H159" s="6">
        <f>SUMIF(Ratings_Long!$A$2:$A$577,$A159,Ratings_Long!$O$2:$O$577)/COUNTIF(Ratings_Long!$A$2:$A$577,$A159)</f>
        <v>2.3333333333333335</v>
      </c>
      <c r="I159" s="6">
        <f>SUMIF(Ratings_Long!$A$2:$A$577,$A159,Ratings_Long!$P$2:$P$577)/COUNTIF(Ratings_Long!$A$2:$A$577,$A159)</f>
        <v>2.6666666666666665</v>
      </c>
      <c r="J159" s="6">
        <f>SUMIF(Ratings_Long!$A$2:$A$577,$A159,Ratings_Long!$Q$2:$Q$577)/COUNTIF(Ratings_Long!$A$2:$A$577,$A159)</f>
        <v>0</v>
      </c>
      <c r="K159" s="6">
        <f>SUMIF(Ratings_Long!$A$2:$A$577,$A159,Ratings_Long!$R$2:$R$577)/COUNTIF(Ratings_Long!$A$2:$A$577,$A159)</f>
        <v>2</v>
      </c>
      <c r="L159" s="6">
        <f>SUMIF(Ratings_Long!$A$2:$A$577,$A159,Ratings_Long!$S$2:$S$577)/COUNTIF(Ratings_Long!$A$2:$A$577,$A159)</f>
        <v>2</v>
      </c>
      <c r="M159" s="6">
        <f t="shared" si="12"/>
        <v>1.25</v>
      </c>
      <c r="N159" s="6">
        <f t="shared" si="13"/>
        <v>1.5</v>
      </c>
      <c r="O159" s="6">
        <f t="shared" si="14"/>
        <v>-1</v>
      </c>
    </row>
    <row r="160" spans="1:15">
      <c r="A160" t="s">
        <v>525</v>
      </c>
      <c r="B160" t="s">
        <v>218</v>
      </c>
      <c r="C160" t="s">
        <v>22</v>
      </c>
      <c r="D160" t="s">
        <v>53</v>
      </c>
      <c r="E160" t="s">
        <v>208</v>
      </c>
      <c r="F160" s="6">
        <v>-0.1</v>
      </c>
      <c r="G160" s="6">
        <f>SUMIF(Ratings_Long!$A$2:$A$577,$A160,Ratings_Long!$N$2:$N$577)/COUNTIF(Ratings_Long!$A$2:$A$577,$A160)</f>
        <v>1.3333333333333333</v>
      </c>
      <c r="H160" s="6">
        <f>SUMIF(Ratings_Long!$A$2:$A$577,$A160,Ratings_Long!$O$2:$O$577)/COUNTIF(Ratings_Long!$A$2:$A$577,$A160)</f>
        <v>3</v>
      </c>
      <c r="I160" s="6">
        <f>SUMIF(Ratings_Long!$A$2:$A$577,$A160,Ratings_Long!$P$2:$P$577)/COUNTIF(Ratings_Long!$A$2:$A$577,$A160)</f>
        <v>2.3333333333333335</v>
      </c>
      <c r="J160" s="6">
        <f>SUMIF(Ratings_Long!$A$2:$A$577,$A160,Ratings_Long!$Q$2:$Q$577)/COUNTIF(Ratings_Long!$A$2:$A$577,$A160)</f>
        <v>1</v>
      </c>
      <c r="K160" s="6">
        <f>SUMIF(Ratings_Long!$A$2:$A$577,$A160,Ratings_Long!$R$2:$R$577)/COUNTIF(Ratings_Long!$A$2:$A$577,$A160)</f>
        <v>2</v>
      </c>
      <c r="L160" s="6">
        <f>SUMIF(Ratings_Long!$A$2:$A$577,$A160,Ratings_Long!$S$2:$S$577)/COUNTIF(Ratings_Long!$A$2:$A$577,$A160)</f>
        <v>2.3333333333333335</v>
      </c>
      <c r="M160" s="6">
        <f t="shared" si="12"/>
        <v>1.9166666666666665</v>
      </c>
      <c r="N160" s="6">
        <f t="shared" si="13"/>
        <v>2</v>
      </c>
      <c r="O160" s="6">
        <f t="shared" si="14"/>
        <v>-0.11111111111111116</v>
      </c>
    </row>
    <row r="161" spans="1:15">
      <c r="A161" t="s">
        <v>526</v>
      </c>
      <c r="B161" t="s">
        <v>223</v>
      </c>
      <c r="C161" t="s">
        <v>22</v>
      </c>
      <c r="D161" t="s">
        <v>53</v>
      </c>
      <c r="E161" t="s">
        <v>208</v>
      </c>
      <c r="F161" s="6">
        <v>-9.375E-2</v>
      </c>
      <c r="G161" s="6">
        <f>SUMIF(Ratings_Long!$A$2:$A$577,$A161,Ratings_Long!$N$2:$N$577)/COUNTIF(Ratings_Long!$A$2:$A$577,$A161)</f>
        <v>1.3333333333333333</v>
      </c>
      <c r="H161" s="6">
        <f>SUMIF(Ratings_Long!$A$2:$A$577,$A161,Ratings_Long!$O$2:$O$577)/COUNTIF(Ratings_Long!$A$2:$A$577,$A161)</f>
        <v>3</v>
      </c>
      <c r="I161" s="6">
        <f>SUMIF(Ratings_Long!$A$2:$A$577,$A161,Ratings_Long!$P$2:$P$577)/COUNTIF(Ratings_Long!$A$2:$A$577,$A161)</f>
        <v>3</v>
      </c>
      <c r="J161" s="6">
        <f>SUMIF(Ratings_Long!$A$2:$A$577,$A161,Ratings_Long!$Q$2:$Q$577)/COUNTIF(Ratings_Long!$A$2:$A$577,$A161)</f>
        <v>2</v>
      </c>
      <c r="K161" s="6">
        <f>SUMIF(Ratings_Long!$A$2:$A$577,$A161,Ratings_Long!$R$2:$R$577)/COUNTIF(Ratings_Long!$A$2:$A$577,$A161)</f>
        <v>3</v>
      </c>
      <c r="L161" s="6">
        <f>SUMIF(Ratings_Long!$A$2:$A$577,$A161,Ratings_Long!$S$2:$S$577)/COUNTIF(Ratings_Long!$A$2:$A$577,$A161)</f>
        <v>3</v>
      </c>
      <c r="M161" s="6">
        <f t="shared" si="12"/>
        <v>2.333333333333333</v>
      </c>
      <c r="N161" s="6">
        <f t="shared" si="13"/>
        <v>2.5555555555555554</v>
      </c>
      <c r="O161" s="6">
        <f t="shared" si="14"/>
        <v>-0.11111111111111116</v>
      </c>
    </row>
    <row r="162" spans="1:15">
      <c r="A162" t="s">
        <v>527</v>
      </c>
      <c r="B162" t="s">
        <v>228</v>
      </c>
      <c r="C162" t="s">
        <v>22</v>
      </c>
      <c r="D162" t="s">
        <v>53</v>
      </c>
      <c r="E162" t="s">
        <v>229</v>
      </c>
      <c r="F162" s="6">
        <v>-0.103448</v>
      </c>
      <c r="G162" s="6">
        <f>SUMIF(Ratings_Long!$A$2:$A$577,$A162,Ratings_Long!$N$2:$N$577)/COUNTIF(Ratings_Long!$A$2:$A$577,$A162)</f>
        <v>0.66666666666666663</v>
      </c>
      <c r="H162" s="6">
        <f>SUMIF(Ratings_Long!$A$2:$A$577,$A162,Ratings_Long!$O$2:$O$577)/COUNTIF(Ratings_Long!$A$2:$A$577,$A162)</f>
        <v>2.6666666666666665</v>
      </c>
      <c r="I162" s="6">
        <f>SUMIF(Ratings_Long!$A$2:$A$577,$A162,Ratings_Long!$P$2:$P$577)/COUNTIF(Ratings_Long!$A$2:$A$577,$A162)</f>
        <v>3</v>
      </c>
      <c r="J162" s="6">
        <f>SUMIF(Ratings_Long!$A$2:$A$577,$A162,Ratings_Long!$Q$2:$Q$577)/COUNTIF(Ratings_Long!$A$2:$A$577,$A162)</f>
        <v>0.66666666666666663</v>
      </c>
      <c r="K162" s="6">
        <f>SUMIF(Ratings_Long!$A$2:$A$577,$A162,Ratings_Long!$R$2:$R$577)/COUNTIF(Ratings_Long!$A$2:$A$577,$A162)</f>
        <v>3</v>
      </c>
      <c r="L162" s="6">
        <f>SUMIF(Ratings_Long!$A$2:$A$577,$A162,Ratings_Long!$S$2:$S$577)/COUNTIF(Ratings_Long!$A$2:$A$577,$A162)</f>
        <v>2.6666666666666665</v>
      </c>
      <c r="M162" s="6">
        <f t="shared" ref="M162:M193" si="15">AVERAGE(G162:J162)</f>
        <v>1.75</v>
      </c>
      <c r="N162" s="6">
        <f t="shared" ref="N162:N193" si="16">AVERAGE(G162:L162)</f>
        <v>2.1111111111111112</v>
      </c>
      <c r="O162" s="6">
        <f t="shared" ref="O162:O193" si="17">(G162/3)*2-1</f>
        <v>-0.55555555555555558</v>
      </c>
    </row>
    <row r="163" spans="1:15">
      <c r="A163" t="s">
        <v>528</v>
      </c>
      <c r="B163" t="s">
        <v>234</v>
      </c>
      <c r="C163" t="s">
        <v>22</v>
      </c>
      <c r="D163" t="s">
        <v>53</v>
      </c>
      <c r="E163" t="s">
        <v>229</v>
      </c>
      <c r="F163" s="6">
        <v>-8.5713999999999999E-2</v>
      </c>
      <c r="G163" s="6">
        <f>SUMIF(Ratings_Long!$A$2:$A$577,$A163,Ratings_Long!$N$2:$N$577)/COUNTIF(Ratings_Long!$A$2:$A$577,$A163)</f>
        <v>0</v>
      </c>
      <c r="H163" s="6">
        <f>SUMIF(Ratings_Long!$A$2:$A$577,$A163,Ratings_Long!$O$2:$O$577)/COUNTIF(Ratings_Long!$A$2:$A$577,$A163)</f>
        <v>2.6666666666666665</v>
      </c>
      <c r="I163" s="6">
        <f>SUMIF(Ratings_Long!$A$2:$A$577,$A163,Ratings_Long!$P$2:$P$577)/COUNTIF(Ratings_Long!$A$2:$A$577,$A163)</f>
        <v>3</v>
      </c>
      <c r="J163" s="6">
        <f>SUMIF(Ratings_Long!$A$2:$A$577,$A163,Ratings_Long!$Q$2:$Q$577)/COUNTIF(Ratings_Long!$A$2:$A$577,$A163)</f>
        <v>0</v>
      </c>
      <c r="K163" s="6">
        <f>SUMIF(Ratings_Long!$A$2:$A$577,$A163,Ratings_Long!$R$2:$R$577)/COUNTIF(Ratings_Long!$A$2:$A$577,$A163)</f>
        <v>2</v>
      </c>
      <c r="L163" s="6">
        <f>SUMIF(Ratings_Long!$A$2:$A$577,$A163,Ratings_Long!$S$2:$S$577)/COUNTIF(Ratings_Long!$A$2:$A$577,$A163)</f>
        <v>2</v>
      </c>
      <c r="M163" s="6">
        <f t="shared" si="15"/>
        <v>1.4166666666666665</v>
      </c>
      <c r="N163" s="6">
        <f t="shared" si="16"/>
        <v>1.6111111111111109</v>
      </c>
      <c r="O163" s="6">
        <f t="shared" si="17"/>
        <v>-1</v>
      </c>
    </row>
    <row r="164" spans="1:15">
      <c r="A164" t="s">
        <v>529</v>
      </c>
      <c r="B164" t="s">
        <v>239</v>
      </c>
      <c r="C164" t="s">
        <v>22</v>
      </c>
      <c r="D164" t="s">
        <v>53</v>
      </c>
      <c r="E164" t="s">
        <v>229</v>
      </c>
      <c r="F164" s="6">
        <v>-9.375E-2</v>
      </c>
      <c r="G164" s="6">
        <f>SUMIF(Ratings_Long!$A$2:$A$577,$A164,Ratings_Long!$N$2:$N$577)/COUNTIF(Ratings_Long!$A$2:$A$577,$A164)</f>
        <v>1.6666666666666667</v>
      </c>
      <c r="H164" s="6">
        <f>SUMIF(Ratings_Long!$A$2:$A$577,$A164,Ratings_Long!$O$2:$O$577)/COUNTIF(Ratings_Long!$A$2:$A$577,$A164)</f>
        <v>2</v>
      </c>
      <c r="I164" s="6">
        <f>SUMIF(Ratings_Long!$A$2:$A$577,$A164,Ratings_Long!$P$2:$P$577)/COUNTIF(Ratings_Long!$A$2:$A$577,$A164)</f>
        <v>3</v>
      </c>
      <c r="J164" s="6">
        <f>SUMIF(Ratings_Long!$A$2:$A$577,$A164,Ratings_Long!$Q$2:$Q$577)/COUNTIF(Ratings_Long!$A$2:$A$577,$A164)</f>
        <v>2</v>
      </c>
      <c r="K164" s="6">
        <f>SUMIF(Ratings_Long!$A$2:$A$577,$A164,Ratings_Long!$R$2:$R$577)/COUNTIF(Ratings_Long!$A$2:$A$577,$A164)</f>
        <v>2</v>
      </c>
      <c r="L164" s="6">
        <f>SUMIF(Ratings_Long!$A$2:$A$577,$A164,Ratings_Long!$S$2:$S$577)/COUNTIF(Ratings_Long!$A$2:$A$577,$A164)</f>
        <v>2.3333333333333335</v>
      </c>
      <c r="M164" s="6">
        <f t="shared" si="15"/>
        <v>2.166666666666667</v>
      </c>
      <c r="N164" s="6">
        <f t="shared" si="16"/>
        <v>2.166666666666667</v>
      </c>
      <c r="O164" s="6">
        <f t="shared" si="17"/>
        <v>0.11111111111111116</v>
      </c>
    </row>
    <row r="165" spans="1:15">
      <c r="A165" t="s">
        <v>530</v>
      </c>
      <c r="B165" t="s">
        <v>244</v>
      </c>
      <c r="C165" t="s">
        <v>22</v>
      </c>
      <c r="D165" t="s">
        <v>53</v>
      </c>
      <c r="E165" t="s">
        <v>229</v>
      </c>
      <c r="F165" s="6">
        <v>-0.1</v>
      </c>
      <c r="G165" s="6">
        <f>SUMIF(Ratings_Long!$A$2:$A$577,$A165,Ratings_Long!$N$2:$N$577)/COUNTIF(Ratings_Long!$A$2:$A$577,$A165)</f>
        <v>0</v>
      </c>
      <c r="H165" s="6">
        <f>SUMIF(Ratings_Long!$A$2:$A$577,$A165,Ratings_Long!$O$2:$O$577)/COUNTIF(Ratings_Long!$A$2:$A$577,$A165)</f>
        <v>3</v>
      </c>
      <c r="I165" s="6">
        <f>SUMIF(Ratings_Long!$A$2:$A$577,$A165,Ratings_Long!$P$2:$P$577)/COUNTIF(Ratings_Long!$A$2:$A$577,$A165)</f>
        <v>3</v>
      </c>
      <c r="J165" s="6">
        <f>SUMIF(Ratings_Long!$A$2:$A$577,$A165,Ratings_Long!$Q$2:$Q$577)/COUNTIF(Ratings_Long!$A$2:$A$577,$A165)</f>
        <v>0</v>
      </c>
      <c r="K165" s="6">
        <f>SUMIF(Ratings_Long!$A$2:$A$577,$A165,Ratings_Long!$R$2:$R$577)/COUNTIF(Ratings_Long!$A$2:$A$577,$A165)</f>
        <v>3</v>
      </c>
      <c r="L165" s="6">
        <f>SUMIF(Ratings_Long!$A$2:$A$577,$A165,Ratings_Long!$S$2:$S$577)/COUNTIF(Ratings_Long!$A$2:$A$577,$A165)</f>
        <v>3</v>
      </c>
      <c r="M165" s="6">
        <f t="shared" si="15"/>
        <v>1.5</v>
      </c>
      <c r="N165" s="6">
        <f t="shared" si="16"/>
        <v>2</v>
      </c>
      <c r="O165" s="6">
        <f t="shared" si="17"/>
        <v>-1</v>
      </c>
    </row>
    <row r="166" spans="1:15">
      <c r="A166" t="s">
        <v>531</v>
      </c>
      <c r="B166" t="s">
        <v>249</v>
      </c>
      <c r="C166" t="s">
        <v>22</v>
      </c>
      <c r="D166" t="s">
        <v>53</v>
      </c>
      <c r="E166" t="s">
        <v>250</v>
      </c>
      <c r="F166" s="6">
        <v>-0.107143</v>
      </c>
      <c r="G166" s="6">
        <f>SUMIF(Ratings_Long!$A$2:$A$577,$A166,Ratings_Long!$N$2:$N$577)/COUNTIF(Ratings_Long!$A$2:$A$577,$A166)</f>
        <v>0</v>
      </c>
      <c r="H166" s="6">
        <f>SUMIF(Ratings_Long!$A$2:$A$577,$A166,Ratings_Long!$O$2:$O$577)/COUNTIF(Ratings_Long!$A$2:$A$577,$A166)</f>
        <v>3</v>
      </c>
      <c r="I166" s="6">
        <f>SUMIF(Ratings_Long!$A$2:$A$577,$A166,Ratings_Long!$P$2:$P$577)/COUNTIF(Ratings_Long!$A$2:$A$577,$A166)</f>
        <v>2</v>
      </c>
      <c r="J166" s="6">
        <f>SUMIF(Ratings_Long!$A$2:$A$577,$A166,Ratings_Long!$Q$2:$Q$577)/COUNTIF(Ratings_Long!$A$2:$A$577,$A166)</f>
        <v>0</v>
      </c>
      <c r="K166" s="6">
        <f>SUMIF(Ratings_Long!$A$2:$A$577,$A166,Ratings_Long!$R$2:$R$577)/COUNTIF(Ratings_Long!$A$2:$A$577,$A166)</f>
        <v>2.3333333333333335</v>
      </c>
      <c r="L166" s="6">
        <f>SUMIF(Ratings_Long!$A$2:$A$577,$A166,Ratings_Long!$S$2:$S$577)/COUNTIF(Ratings_Long!$A$2:$A$577,$A166)</f>
        <v>2</v>
      </c>
      <c r="M166" s="6">
        <f t="shared" si="15"/>
        <v>1.25</v>
      </c>
      <c r="N166" s="6">
        <f t="shared" si="16"/>
        <v>1.5555555555555556</v>
      </c>
      <c r="O166" s="6">
        <f t="shared" si="17"/>
        <v>-1</v>
      </c>
    </row>
    <row r="167" spans="1:15">
      <c r="A167" t="s">
        <v>533</v>
      </c>
      <c r="B167" t="s">
        <v>255</v>
      </c>
      <c r="C167" t="s">
        <v>22</v>
      </c>
      <c r="D167" t="s">
        <v>53</v>
      </c>
      <c r="E167" t="s">
        <v>250</v>
      </c>
      <c r="F167" s="6">
        <v>-9.0909000000000004E-2</v>
      </c>
      <c r="G167" s="6">
        <f>SUMIF(Ratings_Long!$A$2:$A$577,$A167,Ratings_Long!$N$2:$N$577)/COUNTIF(Ratings_Long!$A$2:$A$577,$A167)</f>
        <v>0</v>
      </c>
      <c r="H167" s="6">
        <f>SUMIF(Ratings_Long!$A$2:$A$577,$A167,Ratings_Long!$O$2:$O$577)/COUNTIF(Ratings_Long!$A$2:$A$577,$A167)</f>
        <v>2</v>
      </c>
      <c r="I167" s="6">
        <f>SUMIF(Ratings_Long!$A$2:$A$577,$A167,Ratings_Long!$P$2:$P$577)/COUNTIF(Ratings_Long!$A$2:$A$577,$A167)</f>
        <v>3</v>
      </c>
      <c r="J167" s="6">
        <f>SUMIF(Ratings_Long!$A$2:$A$577,$A167,Ratings_Long!$Q$2:$Q$577)/COUNTIF(Ratings_Long!$A$2:$A$577,$A167)</f>
        <v>1</v>
      </c>
      <c r="K167" s="6">
        <f>SUMIF(Ratings_Long!$A$2:$A$577,$A167,Ratings_Long!$R$2:$R$577)/COUNTIF(Ratings_Long!$A$2:$A$577,$A167)</f>
        <v>3</v>
      </c>
      <c r="L167" s="6">
        <f>SUMIF(Ratings_Long!$A$2:$A$577,$A167,Ratings_Long!$S$2:$S$577)/COUNTIF(Ratings_Long!$A$2:$A$577,$A167)</f>
        <v>2</v>
      </c>
      <c r="M167" s="6">
        <f t="shared" si="15"/>
        <v>1.5</v>
      </c>
      <c r="N167" s="6">
        <f t="shared" si="16"/>
        <v>1.8333333333333333</v>
      </c>
      <c r="O167" s="6">
        <f t="shared" si="17"/>
        <v>-1</v>
      </c>
    </row>
    <row r="168" spans="1:15">
      <c r="A168" t="s">
        <v>534</v>
      </c>
      <c r="B168" t="s">
        <v>260</v>
      </c>
      <c r="C168" t="s">
        <v>22</v>
      </c>
      <c r="D168" t="s">
        <v>53</v>
      </c>
      <c r="E168" t="s">
        <v>250</v>
      </c>
      <c r="F168" s="6">
        <v>-0.107143</v>
      </c>
      <c r="G168" s="6">
        <f>SUMIF(Ratings_Long!$A$2:$A$577,$A168,Ratings_Long!$N$2:$N$577)/COUNTIF(Ratings_Long!$A$2:$A$577,$A168)</f>
        <v>1</v>
      </c>
      <c r="H168" s="6">
        <f>SUMIF(Ratings_Long!$A$2:$A$577,$A168,Ratings_Long!$O$2:$O$577)/COUNTIF(Ratings_Long!$A$2:$A$577,$A168)</f>
        <v>3</v>
      </c>
      <c r="I168" s="6">
        <f>SUMIF(Ratings_Long!$A$2:$A$577,$A168,Ratings_Long!$P$2:$P$577)/COUNTIF(Ratings_Long!$A$2:$A$577,$A168)</f>
        <v>2.3333333333333335</v>
      </c>
      <c r="J168" s="6">
        <f>SUMIF(Ratings_Long!$A$2:$A$577,$A168,Ratings_Long!$Q$2:$Q$577)/COUNTIF(Ratings_Long!$A$2:$A$577,$A168)</f>
        <v>1</v>
      </c>
      <c r="K168" s="6">
        <f>SUMIF(Ratings_Long!$A$2:$A$577,$A168,Ratings_Long!$R$2:$R$577)/COUNTIF(Ratings_Long!$A$2:$A$577,$A168)</f>
        <v>2.6666666666666665</v>
      </c>
      <c r="L168" s="6">
        <f>SUMIF(Ratings_Long!$A$2:$A$577,$A168,Ratings_Long!$S$2:$S$577)/COUNTIF(Ratings_Long!$A$2:$A$577,$A168)</f>
        <v>2</v>
      </c>
      <c r="M168" s="6">
        <f t="shared" si="15"/>
        <v>1.8333333333333335</v>
      </c>
      <c r="N168" s="6">
        <f t="shared" si="16"/>
        <v>2</v>
      </c>
      <c r="O168" s="6">
        <f t="shared" si="17"/>
        <v>-0.33333333333333337</v>
      </c>
    </row>
    <row r="169" spans="1:15">
      <c r="A169" t="s">
        <v>535</v>
      </c>
      <c r="B169" t="s">
        <v>265</v>
      </c>
      <c r="C169" t="s">
        <v>22</v>
      </c>
      <c r="D169" t="s">
        <v>53</v>
      </c>
      <c r="E169" t="s">
        <v>250</v>
      </c>
      <c r="F169" s="6">
        <v>-9.0909000000000004E-2</v>
      </c>
      <c r="G169" s="6">
        <f>SUMIF(Ratings_Long!$A$2:$A$577,$A169,Ratings_Long!$N$2:$N$577)/COUNTIF(Ratings_Long!$A$2:$A$577,$A169)</f>
        <v>1</v>
      </c>
      <c r="H169" s="6">
        <f>SUMIF(Ratings_Long!$A$2:$A$577,$A169,Ratings_Long!$O$2:$O$577)/COUNTIF(Ratings_Long!$A$2:$A$577,$A169)</f>
        <v>2</v>
      </c>
      <c r="I169" s="6">
        <f>SUMIF(Ratings_Long!$A$2:$A$577,$A169,Ratings_Long!$P$2:$P$577)/COUNTIF(Ratings_Long!$A$2:$A$577,$A169)</f>
        <v>2.6666666666666665</v>
      </c>
      <c r="J169" s="6">
        <f>SUMIF(Ratings_Long!$A$2:$A$577,$A169,Ratings_Long!$Q$2:$Q$577)/COUNTIF(Ratings_Long!$A$2:$A$577,$A169)</f>
        <v>1</v>
      </c>
      <c r="K169" s="6">
        <f>SUMIF(Ratings_Long!$A$2:$A$577,$A169,Ratings_Long!$R$2:$R$577)/COUNTIF(Ratings_Long!$A$2:$A$577,$A169)</f>
        <v>2.6666666666666665</v>
      </c>
      <c r="L169" s="6">
        <f>SUMIF(Ratings_Long!$A$2:$A$577,$A169,Ratings_Long!$S$2:$S$577)/COUNTIF(Ratings_Long!$A$2:$A$577,$A169)</f>
        <v>3</v>
      </c>
      <c r="M169" s="6">
        <f t="shared" si="15"/>
        <v>1.6666666666666665</v>
      </c>
      <c r="N169" s="6">
        <f t="shared" si="16"/>
        <v>2.0555555555555554</v>
      </c>
      <c r="O169" s="6">
        <f t="shared" si="17"/>
        <v>-0.33333333333333337</v>
      </c>
    </row>
    <row r="170" spans="1:15">
      <c r="A170" t="s">
        <v>536</v>
      </c>
      <c r="B170" t="s">
        <v>142</v>
      </c>
      <c r="C170" t="s">
        <v>23</v>
      </c>
      <c r="D170" t="s">
        <v>54</v>
      </c>
      <c r="E170" t="s">
        <v>143</v>
      </c>
      <c r="F170" s="6">
        <v>7.6923000000000005E-2</v>
      </c>
      <c r="G170" s="6">
        <f>SUMIF(Ratings_Long!$A$2:$A$577,$A170,Ratings_Long!$N$2:$N$577)/COUNTIF(Ratings_Long!$A$2:$A$577,$A170)</f>
        <v>3</v>
      </c>
      <c r="H170" s="6">
        <f>SUMIF(Ratings_Long!$A$2:$A$577,$A170,Ratings_Long!$O$2:$O$577)/COUNTIF(Ratings_Long!$A$2:$A$577,$A170)</f>
        <v>3</v>
      </c>
      <c r="I170" s="6">
        <f>SUMIF(Ratings_Long!$A$2:$A$577,$A170,Ratings_Long!$P$2:$P$577)/COUNTIF(Ratings_Long!$A$2:$A$577,$A170)</f>
        <v>3</v>
      </c>
      <c r="J170" s="6">
        <f>SUMIF(Ratings_Long!$A$2:$A$577,$A170,Ratings_Long!$Q$2:$Q$577)/COUNTIF(Ratings_Long!$A$2:$A$577,$A170)</f>
        <v>2.6666666666666665</v>
      </c>
      <c r="K170" s="6">
        <f>SUMIF(Ratings_Long!$A$2:$A$577,$A170,Ratings_Long!$R$2:$R$577)/COUNTIF(Ratings_Long!$A$2:$A$577,$A170)</f>
        <v>3</v>
      </c>
      <c r="L170" s="6">
        <f>SUMIF(Ratings_Long!$A$2:$A$577,$A170,Ratings_Long!$S$2:$S$577)/COUNTIF(Ratings_Long!$A$2:$A$577,$A170)</f>
        <v>3</v>
      </c>
      <c r="M170" s="6">
        <f t="shared" si="15"/>
        <v>2.9166666666666665</v>
      </c>
      <c r="N170" s="6">
        <f t="shared" si="16"/>
        <v>2.9444444444444442</v>
      </c>
      <c r="O170" s="6">
        <f t="shared" si="17"/>
        <v>1</v>
      </c>
    </row>
    <row r="171" spans="1:15">
      <c r="A171" t="s">
        <v>539</v>
      </c>
      <c r="B171" t="s">
        <v>149</v>
      </c>
      <c r="C171" t="s">
        <v>23</v>
      </c>
      <c r="D171" t="s">
        <v>54</v>
      </c>
      <c r="E171" t="s">
        <v>143</v>
      </c>
      <c r="F171" s="6">
        <v>7.4074000000000001E-2</v>
      </c>
      <c r="G171" s="6">
        <f>SUMIF(Ratings_Long!$A$2:$A$577,$A171,Ratings_Long!$N$2:$N$577)/COUNTIF(Ratings_Long!$A$2:$A$577,$A171)</f>
        <v>3</v>
      </c>
      <c r="H171" s="6">
        <f>SUMIF(Ratings_Long!$A$2:$A$577,$A171,Ratings_Long!$O$2:$O$577)/COUNTIF(Ratings_Long!$A$2:$A$577,$A171)</f>
        <v>3</v>
      </c>
      <c r="I171" s="6">
        <f>SUMIF(Ratings_Long!$A$2:$A$577,$A171,Ratings_Long!$P$2:$P$577)/COUNTIF(Ratings_Long!$A$2:$A$577,$A171)</f>
        <v>3</v>
      </c>
      <c r="J171" s="6">
        <f>SUMIF(Ratings_Long!$A$2:$A$577,$A171,Ratings_Long!$Q$2:$Q$577)/COUNTIF(Ratings_Long!$A$2:$A$577,$A171)</f>
        <v>3</v>
      </c>
      <c r="K171" s="6">
        <f>SUMIF(Ratings_Long!$A$2:$A$577,$A171,Ratings_Long!$R$2:$R$577)/COUNTIF(Ratings_Long!$A$2:$A$577,$A171)</f>
        <v>2.6666666666666665</v>
      </c>
      <c r="L171" s="6">
        <f>SUMIF(Ratings_Long!$A$2:$A$577,$A171,Ratings_Long!$S$2:$S$577)/COUNTIF(Ratings_Long!$A$2:$A$577,$A171)</f>
        <v>3</v>
      </c>
      <c r="M171" s="6">
        <f t="shared" si="15"/>
        <v>3</v>
      </c>
      <c r="N171" s="6">
        <f t="shared" si="16"/>
        <v>2.9444444444444442</v>
      </c>
      <c r="O171" s="6">
        <f t="shared" si="17"/>
        <v>1</v>
      </c>
    </row>
    <row r="172" spans="1:15">
      <c r="A172" t="s">
        <v>541</v>
      </c>
      <c r="B172" t="s">
        <v>154</v>
      </c>
      <c r="C172" t="s">
        <v>23</v>
      </c>
      <c r="D172" t="s">
        <v>54</v>
      </c>
      <c r="E172" t="s">
        <v>143</v>
      </c>
      <c r="F172" s="6">
        <v>8.3333000000000004E-2</v>
      </c>
      <c r="G172" s="6">
        <f>SUMIF(Ratings_Long!$A$2:$A$577,$A172,Ratings_Long!$N$2:$N$577)/COUNTIF(Ratings_Long!$A$2:$A$577,$A172)</f>
        <v>2</v>
      </c>
      <c r="H172" s="6">
        <f>SUMIF(Ratings_Long!$A$2:$A$577,$A172,Ratings_Long!$O$2:$O$577)/COUNTIF(Ratings_Long!$A$2:$A$577,$A172)</f>
        <v>3</v>
      </c>
      <c r="I172" s="6">
        <f>SUMIF(Ratings_Long!$A$2:$A$577,$A172,Ratings_Long!$P$2:$P$577)/COUNTIF(Ratings_Long!$A$2:$A$577,$A172)</f>
        <v>3</v>
      </c>
      <c r="J172" s="6">
        <f>SUMIF(Ratings_Long!$A$2:$A$577,$A172,Ratings_Long!$Q$2:$Q$577)/COUNTIF(Ratings_Long!$A$2:$A$577,$A172)</f>
        <v>2.3333333333333335</v>
      </c>
      <c r="K172" s="6">
        <f>SUMIF(Ratings_Long!$A$2:$A$577,$A172,Ratings_Long!$R$2:$R$577)/COUNTIF(Ratings_Long!$A$2:$A$577,$A172)</f>
        <v>2.6666666666666665</v>
      </c>
      <c r="L172" s="6">
        <f>SUMIF(Ratings_Long!$A$2:$A$577,$A172,Ratings_Long!$S$2:$S$577)/COUNTIF(Ratings_Long!$A$2:$A$577,$A172)</f>
        <v>2</v>
      </c>
      <c r="M172" s="6">
        <f t="shared" si="15"/>
        <v>2.5833333333333335</v>
      </c>
      <c r="N172" s="6">
        <f t="shared" si="16"/>
        <v>2.5</v>
      </c>
      <c r="O172" s="6">
        <f t="shared" si="17"/>
        <v>0.33333333333333326</v>
      </c>
    </row>
    <row r="173" spans="1:15">
      <c r="A173" t="s">
        <v>543</v>
      </c>
      <c r="B173" t="s">
        <v>160</v>
      </c>
      <c r="C173" t="s">
        <v>23</v>
      </c>
      <c r="D173" t="s">
        <v>54</v>
      </c>
      <c r="E173" t="s">
        <v>143</v>
      </c>
      <c r="F173" s="6">
        <v>7.6923000000000005E-2</v>
      </c>
      <c r="G173" s="6">
        <f>SUMIF(Ratings_Long!$A$2:$A$577,$A173,Ratings_Long!$N$2:$N$577)/COUNTIF(Ratings_Long!$A$2:$A$577,$A173)</f>
        <v>1.3333333333333333</v>
      </c>
      <c r="H173" s="6">
        <f>SUMIF(Ratings_Long!$A$2:$A$577,$A173,Ratings_Long!$O$2:$O$577)/COUNTIF(Ratings_Long!$A$2:$A$577,$A173)</f>
        <v>2.3333333333333335</v>
      </c>
      <c r="I173" s="6">
        <f>SUMIF(Ratings_Long!$A$2:$A$577,$A173,Ratings_Long!$P$2:$P$577)/COUNTIF(Ratings_Long!$A$2:$A$577,$A173)</f>
        <v>2.3333333333333335</v>
      </c>
      <c r="J173" s="6">
        <f>SUMIF(Ratings_Long!$A$2:$A$577,$A173,Ratings_Long!$Q$2:$Q$577)/COUNTIF(Ratings_Long!$A$2:$A$577,$A173)</f>
        <v>1.6666666666666667</v>
      </c>
      <c r="K173" s="6">
        <f>SUMIF(Ratings_Long!$A$2:$A$577,$A173,Ratings_Long!$R$2:$R$577)/COUNTIF(Ratings_Long!$A$2:$A$577,$A173)</f>
        <v>2</v>
      </c>
      <c r="L173" s="6">
        <f>SUMIF(Ratings_Long!$A$2:$A$577,$A173,Ratings_Long!$S$2:$S$577)/COUNTIF(Ratings_Long!$A$2:$A$577,$A173)</f>
        <v>2.3333333333333335</v>
      </c>
      <c r="M173" s="6">
        <f t="shared" si="15"/>
        <v>1.9166666666666667</v>
      </c>
      <c r="N173" s="6">
        <f t="shared" si="16"/>
        <v>2.0000000000000004</v>
      </c>
      <c r="O173" s="6">
        <f t="shared" si="17"/>
        <v>-0.11111111111111116</v>
      </c>
    </row>
    <row r="174" spans="1:15">
      <c r="A174" t="s">
        <v>545</v>
      </c>
      <c r="B174" t="s">
        <v>165</v>
      </c>
      <c r="C174" t="s">
        <v>23</v>
      </c>
      <c r="D174" t="s">
        <v>54</v>
      </c>
      <c r="E174" t="s">
        <v>166</v>
      </c>
      <c r="F174" s="6">
        <v>3.3333000000000002E-2</v>
      </c>
      <c r="G174" s="6">
        <f>SUMIF(Ratings_Long!$A$2:$A$577,$A174,Ratings_Long!$N$2:$N$577)/COUNTIF(Ratings_Long!$A$2:$A$577,$A174)</f>
        <v>1.3333333333333333</v>
      </c>
      <c r="H174" s="6">
        <f>SUMIF(Ratings_Long!$A$2:$A$577,$A174,Ratings_Long!$O$2:$O$577)/COUNTIF(Ratings_Long!$A$2:$A$577,$A174)</f>
        <v>3</v>
      </c>
      <c r="I174" s="6">
        <f>SUMIF(Ratings_Long!$A$2:$A$577,$A174,Ratings_Long!$P$2:$P$577)/COUNTIF(Ratings_Long!$A$2:$A$577,$A174)</f>
        <v>3</v>
      </c>
      <c r="J174" s="6">
        <f>SUMIF(Ratings_Long!$A$2:$A$577,$A174,Ratings_Long!$Q$2:$Q$577)/COUNTIF(Ratings_Long!$A$2:$A$577,$A174)</f>
        <v>1.3333333333333333</v>
      </c>
      <c r="K174" s="6">
        <f>SUMIF(Ratings_Long!$A$2:$A$577,$A174,Ratings_Long!$R$2:$R$577)/COUNTIF(Ratings_Long!$A$2:$A$577,$A174)</f>
        <v>3</v>
      </c>
      <c r="L174" s="6">
        <f>SUMIF(Ratings_Long!$A$2:$A$577,$A174,Ratings_Long!$S$2:$S$577)/COUNTIF(Ratings_Long!$A$2:$A$577,$A174)</f>
        <v>3</v>
      </c>
      <c r="M174" s="6">
        <f t="shared" si="15"/>
        <v>2.1666666666666665</v>
      </c>
      <c r="N174" s="6">
        <f t="shared" si="16"/>
        <v>2.4444444444444442</v>
      </c>
      <c r="O174" s="6">
        <f t="shared" si="17"/>
        <v>-0.11111111111111116</v>
      </c>
    </row>
    <row r="175" spans="1:15">
      <c r="A175" t="s">
        <v>547</v>
      </c>
      <c r="B175" t="s">
        <v>171</v>
      </c>
      <c r="C175" t="s">
        <v>23</v>
      </c>
      <c r="D175" t="s">
        <v>54</v>
      </c>
      <c r="E175" t="s">
        <v>166</v>
      </c>
      <c r="F175" s="6">
        <v>7.4074000000000001E-2</v>
      </c>
      <c r="G175" s="6">
        <f>SUMIF(Ratings_Long!$A$2:$A$577,$A175,Ratings_Long!$N$2:$N$577)/COUNTIF(Ratings_Long!$A$2:$A$577,$A175)</f>
        <v>1</v>
      </c>
      <c r="H175" s="6">
        <f>SUMIF(Ratings_Long!$A$2:$A$577,$A175,Ratings_Long!$O$2:$O$577)/COUNTIF(Ratings_Long!$A$2:$A$577,$A175)</f>
        <v>3</v>
      </c>
      <c r="I175" s="6">
        <f>SUMIF(Ratings_Long!$A$2:$A$577,$A175,Ratings_Long!$P$2:$P$577)/COUNTIF(Ratings_Long!$A$2:$A$577,$A175)</f>
        <v>3</v>
      </c>
      <c r="J175" s="6">
        <f>SUMIF(Ratings_Long!$A$2:$A$577,$A175,Ratings_Long!$Q$2:$Q$577)/COUNTIF(Ratings_Long!$A$2:$A$577,$A175)</f>
        <v>2</v>
      </c>
      <c r="K175" s="6">
        <f>SUMIF(Ratings_Long!$A$2:$A$577,$A175,Ratings_Long!$R$2:$R$577)/COUNTIF(Ratings_Long!$A$2:$A$577,$A175)</f>
        <v>3</v>
      </c>
      <c r="L175" s="6">
        <f>SUMIF(Ratings_Long!$A$2:$A$577,$A175,Ratings_Long!$S$2:$S$577)/COUNTIF(Ratings_Long!$A$2:$A$577,$A175)</f>
        <v>3</v>
      </c>
      <c r="M175" s="6">
        <f t="shared" si="15"/>
        <v>2.25</v>
      </c>
      <c r="N175" s="6">
        <f t="shared" si="16"/>
        <v>2.5</v>
      </c>
      <c r="O175" s="6">
        <f t="shared" si="17"/>
        <v>-0.33333333333333337</v>
      </c>
    </row>
    <row r="176" spans="1:15">
      <c r="A176" t="s">
        <v>549</v>
      </c>
      <c r="B176" t="s">
        <v>176</v>
      </c>
      <c r="C176" t="s">
        <v>23</v>
      </c>
      <c r="D176" t="s">
        <v>54</v>
      </c>
      <c r="E176" t="s">
        <v>166</v>
      </c>
      <c r="F176" s="6">
        <v>7.4074000000000001E-2</v>
      </c>
      <c r="G176" s="6">
        <f>SUMIF(Ratings_Long!$A$2:$A$577,$A176,Ratings_Long!$N$2:$N$577)/COUNTIF(Ratings_Long!$A$2:$A$577,$A176)</f>
        <v>3</v>
      </c>
      <c r="H176" s="6">
        <f>SUMIF(Ratings_Long!$A$2:$A$577,$A176,Ratings_Long!$O$2:$O$577)/COUNTIF(Ratings_Long!$A$2:$A$577,$A176)</f>
        <v>2.6666666666666665</v>
      </c>
      <c r="I176" s="6">
        <f>SUMIF(Ratings_Long!$A$2:$A$577,$A176,Ratings_Long!$P$2:$P$577)/COUNTIF(Ratings_Long!$A$2:$A$577,$A176)</f>
        <v>3</v>
      </c>
      <c r="J176" s="6">
        <f>SUMIF(Ratings_Long!$A$2:$A$577,$A176,Ratings_Long!$Q$2:$Q$577)/COUNTIF(Ratings_Long!$A$2:$A$577,$A176)</f>
        <v>3</v>
      </c>
      <c r="K176" s="6">
        <f>SUMIF(Ratings_Long!$A$2:$A$577,$A176,Ratings_Long!$R$2:$R$577)/COUNTIF(Ratings_Long!$A$2:$A$577,$A176)</f>
        <v>3</v>
      </c>
      <c r="L176" s="6">
        <f>SUMIF(Ratings_Long!$A$2:$A$577,$A176,Ratings_Long!$S$2:$S$577)/COUNTIF(Ratings_Long!$A$2:$A$577,$A176)</f>
        <v>3</v>
      </c>
      <c r="M176" s="6">
        <f t="shared" si="15"/>
        <v>2.9166666666666665</v>
      </c>
      <c r="N176" s="6">
        <f t="shared" si="16"/>
        <v>2.9444444444444442</v>
      </c>
      <c r="O176" s="6">
        <f t="shared" si="17"/>
        <v>1</v>
      </c>
    </row>
    <row r="177" spans="1:15">
      <c r="A177" t="s">
        <v>551</v>
      </c>
      <c r="B177" t="s">
        <v>181</v>
      </c>
      <c r="C177" t="s">
        <v>23</v>
      </c>
      <c r="D177" t="s">
        <v>54</v>
      </c>
      <c r="E177" t="s">
        <v>166</v>
      </c>
      <c r="F177" s="6">
        <v>0.08</v>
      </c>
      <c r="G177" s="6">
        <f>SUMIF(Ratings_Long!$A$2:$A$577,$A177,Ratings_Long!$N$2:$N$577)/COUNTIF(Ratings_Long!$A$2:$A$577,$A177)</f>
        <v>2.6666666666666665</v>
      </c>
      <c r="H177" s="6">
        <f>SUMIF(Ratings_Long!$A$2:$A$577,$A177,Ratings_Long!$O$2:$O$577)/COUNTIF(Ratings_Long!$A$2:$A$577,$A177)</f>
        <v>3</v>
      </c>
      <c r="I177" s="6">
        <f>SUMIF(Ratings_Long!$A$2:$A$577,$A177,Ratings_Long!$P$2:$P$577)/COUNTIF(Ratings_Long!$A$2:$A$577,$A177)</f>
        <v>3</v>
      </c>
      <c r="J177" s="6">
        <f>SUMIF(Ratings_Long!$A$2:$A$577,$A177,Ratings_Long!$Q$2:$Q$577)/COUNTIF(Ratings_Long!$A$2:$A$577,$A177)</f>
        <v>3</v>
      </c>
      <c r="K177" s="6">
        <f>SUMIF(Ratings_Long!$A$2:$A$577,$A177,Ratings_Long!$R$2:$R$577)/COUNTIF(Ratings_Long!$A$2:$A$577,$A177)</f>
        <v>3</v>
      </c>
      <c r="L177" s="6">
        <f>SUMIF(Ratings_Long!$A$2:$A$577,$A177,Ratings_Long!$S$2:$S$577)/COUNTIF(Ratings_Long!$A$2:$A$577,$A177)</f>
        <v>3</v>
      </c>
      <c r="M177" s="6">
        <f t="shared" si="15"/>
        <v>2.9166666666666665</v>
      </c>
      <c r="N177" s="6">
        <f t="shared" si="16"/>
        <v>2.9444444444444442</v>
      </c>
      <c r="O177" s="6">
        <f t="shared" si="17"/>
        <v>0.77777777777777768</v>
      </c>
    </row>
    <row r="178" spans="1:15">
      <c r="A178" t="s">
        <v>553</v>
      </c>
      <c r="B178" t="s">
        <v>186</v>
      </c>
      <c r="C178" t="s">
        <v>23</v>
      </c>
      <c r="D178" t="s">
        <v>54</v>
      </c>
      <c r="E178" t="s">
        <v>187</v>
      </c>
      <c r="F178" s="6">
        <v>6.25E-2</v>
      </c>
      <c r="G178" s="6">
        <f>SUMIF(Ratings_Long!$A$2:$A$577,$A178,Ratings_Long!$N$2:$N$577)/COUNTIF(Ratings_Long!$A$2:$A$577,$A178)</f>
        <v>2.3333333333333335</v>
      </c>
      <c r="H178" s="6">
        <f>SUMIF(Ratings_Long!$A$2:$A$577,$A178,Ratings_Long!$O$2:$O$577)/COUNTIF(Ratings_Long!$A$2:$A$577,$A178)</f>
        <v>2</v>
      </c>
      <c r="I178" s="6">
        <f>SUMIF(Ratings_Long!$A$2:$A$577,$A178,Ratings_Long!$P$2:$P$577)/COUNTIF(Ratings_Long!$A$2:$A$577,$A178)</f>
        <v>2.6666666666666665</v>
      </c>
      <c r="J178" s="6">
        <f>SUMIF(Ratings_Long!$A$2:$A$577,$A178,Ratings_Long!$Q$2:$Q$577)/COUNTIF(Ratings_Long!$A$2:$A$577,$A178)</f>
        <v>2</v>
      </c>
      <c r="K178" s="6">
        <f>SUMIF(Ratings_Long!$A$2:$A$577,$A178,Ratings_Long!$R$2:$R$577)/COUNTIF(Ratings_Long!$A$2:$A$577,$A178)</f>
        <v>2</v>
      </c>
      <c r="L178" s="6">
        <f>SUMIF(Ratings_Long!$A$2:$A$577,$A178,Ratings_Long!$S$2:$S$577)/COUNTIF(Ratings_Long!$A$2:$A$577,$A178)</f>
        <v>2.6666666666666665</v>
      </c>
      <c r="M178" s="6">
        <f t="shared" si="15"/>
        <v>2.25</v>
      </c>
      <c r="N178" s="6">
        <f t="shared" si="16"/>
        <v>2.2777777777777777</v>
      </c>
      <c r="O178" s="6">
        <f t="shared" si="17"/>
        <v>0.55555555555555558</v>
      </c>
    </row>
    <row r="179" spans="1:15">
      <c r="A179" t="s">
        <v>555</v>
      </c>
      <c r="B179" t="s">
        <v>192</v>
      </c>
      <c r="C179" t="s">
        <v>23</v>
      </c>
      <c r="D179" t="s">
        <v>54</v>
      </c>
      <c r="E179" t="s">
        <v>187</v>
      </c>
      <c r="F179" s="6">
        <v>3.8462000000000003E-2</v>
      </c>
      <c r="G179" s="6">
        <f>SUMIF(Ratings_Long!$A$2:$A$577,$A179,Ratings_Long!$N$2:$N$577)/COUNTIF(Ratings_Long!$A$2:$A$577,$A179)</f>
        <v>3</v>
      </c>
      <c r="H179" s="6">
        <f>SUMIF(Ratings_Long!$A$2:$A$577,$A179,Ratings_Long!$O$2:$O$577)/COUNTIF(Ratings_Long!$A$2:$A$577,$A179)</f>
        <v>2</v>
      </c>
      <c r="I179" s="6">
        <f>SUMIF(Ratings_Long!$A$2:$A$577,$A179,Ratings_Long!$P$2:$P$577)/COUNTIF(Ratings_Long!$A$2:$A$577,$A179)</f>
        <v>2</v>
      </c>
      <c r="J179" s="6">
        <f>SUMIF(Ratings_Long!$A$2:$A$577,$A179,Ratings_Long!$Q$2:$Q$577)/COUNTIF(Ratings_Long!$A$2:$A$577,$A179)</f>
        <v>2.3333333333333335</v>
      </c>
      <c r="K179" s="6">
        <f>SUMIF(Ratings_Long!$A$2:$A$577,$A179,Ratings_Long!$R$2:$R$577)/COUNTIF(Ratings_Long!$A$2:$A$577,$A179)</f>
        <v>2.6666666666666665</v>
      </c>
      <c r="L179" s="6">
        <f>SUMIF(Ratings_Long!$A$2:$A$577,$A179,Ratings_Long!$S$2:$S$577)/COUNTIF(Ratings_Long!$A$2:$A$577,$A179)</f>
        <v>3</v>
      </c>
      <c r="M179" s="6">
        <f t="shared" si="15"/>
        <v>2.3333333333333335</v>
      </c>
      <c r="N179" s="6">
        <f t="shared" si="16"/>
        <v>2.5</v>
      </c>
      <c r="O179" s="6">
        <f t="shared" si="17"/>
        <v>1</v>
      </c>
    </row>
    <row r="180" spans="1:15">
      <c r="A180" t="s">
        <v>557</v>
      </c>
      <c r="B180" t="s">
        <v>197</v>
      </c>
      <c r="C180" t="s">
        <v>23</v>
      </c>
      <c r="D180" t="s">
        <v>54</v>
      </c>
      <c r="E180" t="s">
        <v>187</v>
      </c>
      <c r="F180" s="6">
        <v>7.1429000000000006E-2</v>
      </c>
      <c r="G180" s="6">
        <f>SUMIF(Ratings_Long!$A$2:$A$577,$A180,Ratings_Long!$N$2:$N$577)/COUNTIF(Ratings_Long!$A$2:$A$577,$A180)</f>
        <v>2.6666666666666665</v>
      </c>
      <c r="H180" s="6">
        <f>SUMIF(Ratings_Long!$A$2:$A$577,$A180,Ratings_Long!$O$2:$O$577)/COUNTIF(Ratings_Long!$A$2:$A$577,$A180)</f>
        <v>3</v>
      </c>
      <c r="I180" s="6">
        <f>SUMIF(Ratings_Long!$A$2:$A$577,$A180,Ratings_Long!$P$2:$P$577)/COUNTIF(Ratings_Long!$A$2:$A$577,$A180)</f>
        <v>3</v>
      </c>
      <c r="J180" s="6">
        <f>SUMIF(Ratings_Long!$A$2:$A$577,$A180,Ratings_Long!$Q$2:$Q$577)/COUNTIF(Ratings_Long!$A$2:$A$577,$A180)</f>
        <v>3</v>
      </c>
      <c r="K180" s="6">
        <f>SUMIF(Ratings_Long!$A$2:$A$577,$A180,Ratings_Long!$R$2:$R$577)/COUNTIF(Ratings_Long!$A$2:$A$577,$A180)</f>
        <v>3</v>
      </c>
      <c r="L180" s="6">
        <f>SUMIF(Ratings_Long!$A$2:$A$577,$A180,Ratings_Long!$S$2:$S$577)/COUNTIF(Ratings_Long!$A$2:$A$577,$A180)</f>
        <v>3</v>
      </c>
      <c r="M180" s="6">
        <f t="shared" si="15"/>
        <v>2.9166666666666665</v>
      </c>
      <c r="N180" s="6">
        <f t="shared" si="16"/>
        <v>2.9444444444444442</v>
      </c>
      <c r="O180" s="6">
        <f t="shared" si="17"/>
        <v>0.77777777777777768</v>
      </c>
    </row>
    <row r="181" spans="1:15">
      <c r="A181" t="s">
        <v>559</v>
      </c>
      <c r="B181" t="s">
        <v>202</v>
      </c>
      <c r="C181" t="s">
        <v>23</v>
      </c>
      <c r="D181" t="s">
        <v>54</v>
      </c>
      <c r="E181" t="s">
        <v>187</v>
      </c>
      <c r="F181" s="6">
        <v>7.1429000000000006E-2</v>
      </c>
      <c r="G181" s="6">
        <f>SUMIF(Ratings_Long!$A$2:$A$577,$A181,Ratings_Long!$N$2:$N$577)/COUNTIF(Ratings_Long!$A$2:$A$577,$A181)</f>
        <v>2</v>
      </c>
      <c r="H181" s="6">
        <f>SUMIF(Ratings_Long!$A$2:$A$577,$A181,Ratings_Long!$O$2:$O$577)/COUNTIF(Ratings_Long!$A$2:$A$577,$A181)</f>
        <v>3</v>
      </c>
      <c r="I181" s="6">
        <f>SUMIF(Ratings_Long!$A$2:$A$577,$A181,Ratings_Long!$P$2:$P$577)/COUNTIF(Ratings_Long!$A$2:$A$577,$A181)</f>
        <v>3</v>
      </c>
      <c r="J181" s="6">
        <f>SUMIF(Ratings_Long!$A$2:$A$577,$A181,Ratings_Long!$Q$2:$Q$577)/COUNTIF(Ratings_Long!$A$2:$A$577,$A181)</f>
        <v>2</v>
      </c>
      <c r="K181" s="6">
        <f>SUMIF(Ratings_Long!$A$2:$A$577,$A181,Ratings_Long!$R$2:$R$577)/COUNTIF(Ratings_Long!$A$2:$A$577,$A181)</f>
        <v>3</v>
      </c>
      <c r="L181" s="6">
        <f>SUMIF(Ratings_Long!$A$2:$A$577,$A181,Ratings_Long!$S$2:$S$577)/COUNTIF(Ratings_Long!$A$2:$A$577,$A181)</f>
        <v>3</v>
      </c>
      <c r="M181" s="6">
        <f t="shared" si="15"/>
        <v>2.5</v>
      </c>
      <c r="N181" s="6">
        <f t="shared" si="16"/>
        <v>2.6666666666666665</v>
      </c>
      <c r="O181" s="6">
        <f t="shared" si="17"/>
        <v>0.33333333333333326</v>
      </c>
    </row>
    <row r="182" spans="1:15">
      <c r="A182" t="s">
        <v>561</v>
      </c>
      <c r="B182" t="s">
        <v>207</v>
      </c>
      <c r="C182" t="s">
        <v>23</v>
      </c>
      <c r="D182" t="s">
        <v>54</v>
      </c>
      <c r="E182" t="s">
        <v>208</v>
      </c>
      <c r="F182" s="6">
        <v>6.8966E-2</v>
      </c>
      <c r="G182" s="6">
        <f>SUMIF(Ratings_Long!$A$2:$A$577,$A182,Ratings_Long!$N$2:$N$577)/COUNTIF(Ratings_Long!$A$2:$A$577,$A182)</f>
        <v>2.3333333333333335</v>
      </c>
      <c r="H182" s="6">
        <f>SUMIF(Ratings_Long!$A$2:$A$577,$A182,Ratings_Long!$O$2:$O$577)/COUNTIF(Ratings_Long!$A$2:$A$577,$A182)</f>
        <v>2.3333333333333335</v>
      </c>
      <c r="I182" s="6">
        <f>SUMIF(Ratings_Long!$A$2:$A$577,$A182,Ratings_Long!$P$2:$P$577)/COUNTIF(Ratings_Long!$A$2:$A$577,$A182)</f>
        <v>2</v>
      </c>
      <c r="J182" s="6">
        <f>SUMIF(Ratings_Long!$A$2:$A$577,$A182,Ratings_Long!$Q$2:$Q$577)/COUNTIF(Ratings_Long!$A$2:$A$577,$A182)</f>
        <v>2.6666666666666665</v>
      </c>
      <c r="K182" s="6">
        <f>SUMIF(Ratings_Long!$A$2:$A$577,$A182,Ratings_Long!$R$2:$R$577)/COUNTIF(Ratings_Long!$A$2:$A$577,$A182)</f>
        <v>2.6666666666666665</v>
      </c>
      <c r="L182" s="6">
        <f>SUMIF(Ratings_Long!$A$2:$A$577,$A182,Ratings_Long!$S$2:$S$577)/COUNTIF(Ratings_Long!$A$2:$A$577,$A182)</f>
        <v>1.6666666666666667</v>
      </c>
      <c r="M182" s="6">
        <f t="shared" si="15"/>
        <v>2.3333333333333335</v>
      </c>
      <c r="N182" s="6">
        <f t="shared" si="16"/>
        <v>2.2777777777777777</v>
      </c>
      <c r="O182" s="6">
        <f t="shared" si="17"/>
        <v>0.55555555555555558</v>
      </c>
    </row>
    <row r="183" spans="1:15">
      <c r="A183" t="s">
        <v>563</v>
      </c>
      <c r="B183" t="s">
        <v>213</v>
      </c>
      <c r="C183" t="s">
        <v>23</v>
      </c>
      <c r="D183" t="s">
        <v>54</v>
      </c>
      <c r="E183" t="s">
        <v>208</v>
      </c>
      <c r="F183" s="6">
        <v>7.6923000000000005E-2</v>
      </c>
      <c r="G183" s="6">
        <f>SUMIF(Ratings_Long!$A$2:$A$577,$A183,Ratings_Long!$N$2:$N$577)/COUNTIF(Ratings_Long!$A$2:$A$577,$A183)</f>
        <v>2.3333333333333335</v>
      </c>
      <c r="H183" s="6">
        <f>SUMIF(Ratings_Long!$A$2:$A$577,$A183,Ratings_Long!$O$2:$O$577)/COUNTIF(Ratings_Long!$A$2:$A$577,$A183)</f>
        <v>2.6666666666666665</v>
      </c>
      <c r="I183" s="6">
        <f>SUMIF(Ratings_Long!$A$2:$A$577,$A183,Ratings_Long!$P$2:$P$577)/COUNTIF(Ratings_Long!$A$2:$A$577,$A183)</f>
        <v>3</v>
      </c>
      <c r="J183" s="6">
        <f>SUMIF(Ratings_Long!$A$2:$A$577,$A183,Ratings_Long!$Q$2:$Q$577)/COUNTIF(Ratings_Long!$A$2:$A$577,$A183)</f>
        <v>2</v>
      </c>
      <c r="K183" s="6">
        <f>SUMIF(Ratings_Long!$A$2:$A$577,$A183,Ratings_Long!$R$2:$R$577)/COUNTIF(Ratings_Long!$A$2:$A$577,$A183)</f>
        <v>3</v>
      </c>
      <c r="L183" s="6">
        <f>SUMIF(Ratings_Long!$A$2:$A$577,$A183,Ratings_Long!$S$2:$S$577)/COUNTIF(Ratings_Long!$A$2:$A$577,$A183)</f>
        <v>2.6666666666666665</v>
      </c>
      <c r="M183" s="6">
        <f t="shared" si="15"/>
        <v>2.5</v>
      </c>
      <c r="N183" s="6">
        <f t="shared" si="16"/>
        <v>2.6111111111111112</v>
      </c>
      <c r="O183" s="6">
        <f t="shared" si="17"/>
        <v>0.55555555555555558</v>
      </c>
    </row>
    <row r="184" spans="1:15">
      <c r="A184" t="s">
        <v>565</v>
      </c>
      <c r="B184" t="s">
        <v>218</v>
      </c>
      <c r="C184" t="s">
        <v>23</v>
      </c>
      <c r="D184" t="s">
        <v>54</v>
      </c>
      <c r="E184" t="s">
        <v>208</v>
      </c>
      <c r="F184" s="6">
        <v>3.5714000000000003E-2</v>
      </c>
      <c r="G184" s="6">
        <f>SUMIF(Ratings_Long!$A$2:$A$577,$A184,Ratings_Long!$N$2:$N$577)/COUNTIF(Ratings_Long!$A$2:$A$577,$A184)</f>
        <v>2</v>
      </c>
      <c r="H184" s="6">
        <f>SUMIF(Ratings_Long!$A$2:$A$577,$A184,Ratings_Long!$O$2:$O$577)/COUNTIF(Ratings_Long!$A$2:$A$577,$A184)</f>
        <v>2</v>
      </c>
      <c r="I184" s="6">
        <f>SUMIF(Ratings_Long!$A$2:$A$577,$A184,Ratings_Long!$P$2:$P$577)/COUNTIF(Ratings_Long!$A$2:$A$577,$A184)</f>
        <v>2.3333333333333335</v>
      </c>
      <c r="J184" s="6">
        <f>SUMIF(Ratings_Long!$A$2:$A$577,$A184,Ratings_Long!$Q$2:$Q$577)/COUNTIF(Ratings_Long!$A$2:$A$577,$A184)</f>
        <v>2.3333333333333335</v>
      </c>
      <c r="K184" s="6">
        <f>SUMIF(Ratings_Long!$A$2:$A$577,$A184,Ratings_Long!$R$2:$R$577)/COUNTIF(Ratings_Long!$A$2:$A$577,$A184)</f>
        <v>2.6666666666666665</v>
      </c>
      <c r="L184" s="6">
        <f>SUMIF(Ratings_Long!$A$2:$A$577,$A184,Ratings_Long!$S$2:$S$577)/COUNTIF(Ratings_Long!$A$2:$A$577,$A184)</f>
        <v>2.3333333333333335</v>
      </c>
      <c r="M184" s="6">
        <f t="shared" si="15"/>
        <v>2.166666666666667</v>
      </c>
      <c r="N184" s="6">
        <f t="shared" si="16"/>
        <v>2.2777777777777781</v>
      </c>
      <c r="O184" s="6">
        <f t="shared" si="17"/>
        <v>0.33333333333333326</v>
      </c>
    </row>
    <row r="185" spans="1:15">
      <c r="A185" t="s">
        <v>567</v>
      </c>
      <c r="B185" t="s">
        <v>223</v>
      </c>
      <c r="C185" t="s">
        <v>23</v>
      </c>
      <c r="D185" t="s">
        <v>54</v>
      </c>
      <c r="E185" t="s">
        <v>208</v>
      </c>
      <c r="F185" s="6">
        <v>6.8966E-2</v>
      </c>
      <c r="G185" s="6">
        <f>SUMIF(Ratings_Long!$A$2:$A$577,$A185,Ratings_Long!$N$2:$N$577)/COUNTIF(Ratings_Long!$A$2:$A$577,$A185)</f>
        <v>3</v>
      </c>
      <c r="H185" s="6">
        <f>SUMIF(Ratings_Long!$A$2:$A$577,$A185,Ratings_Long!$O$2:$O$577)/COUNTIF(Ratings_Long!$A$2:$A$577,$A185)</f>
        <v>3</v>
      </c>
      <c r="I185" s="6">
        <f>SUMIF(Ratings_Long!$A$2:$A$577,$A185,Ratings_Long!$P$2:$P$577)/COUNTIF(Ratings_Long!$A$2:$A$577,$A185)</f>
        <v>3</v>
      </c>
      <c r="J185" s="6">
        <f>SUMIF(Ratings_Long!$A$2:$A$577,$A185,Ratings_Long!$Q$2:$Q$577)/COUNTIF(Ratings_Long!$A$2:$A$577,$A185)</f>
        <v>3</v>
      </c>
      <c r="K185" s="6">
        <f>SUMIF(Ratings_Long!$A$2:$A$577,$A185,Ratings_Long!$R$2:$R$577)/COUNTIF(Ratings_Long!$A$2:$A$577,$A185)</f>
        <v>3</v>
      </c>
      <c r="L185" s="6">
        <f>SUMIF(Ratings_Long!$A$2:$A$577,$A185,Ratings_Long!$S$2:$S$577)/COUNTIF(Ratings_Long!$A$2:$A$577,$A185)</f>
        <v>3</v>
      </c>
      <c r="M185" s="6">
        <f t="shared" si="15"/>
        <v>3</v>
      </c>
      <c r="N185" s="6">
        <f t="shared" si="16"/>
        <v>3</v>
      </c>
      <c r="O185" s="6">
        <f t="shared" si="17"/>
        <v>1</v>
      </c>
    </row>
    <row r="186" spans="1:15">
      <c r="A186" t="s">
        <v>569</v>
      </c>
      <c r="B186" t="s">
        <v>228</v>
      </c>
      <c r="C186" t="s">
        <v>23</v>
      </c>
      <c r="D186" t="s">
        <v>54</v>
      </c>
      <c r="E186" t="s">
        <v>229</v>
      </c>
      <c r="F186" s="6">
        <v>0.08</v>
      </c>
      <c r="G186" s="6">
        <f>SUMIF(Ratings_Long!$A$2:$A$577,$A186,Ratings_Long!$N$2:$N$577)/COUNTIF(Ratings_Long!$A$2:$A$577,$A186)</f>
        <v>3</v>
      </c>
      <c r="H186" s="6">
        <f>SUMIF(Ratings_Long!$A$2:$A$577,$A186,Ratings_Long!$O$2:$O$577)/COUNTIF(Ratings_Long!$A$2:$A$577,$A186)</f>
        <v>3</v>
      </c>
      <c r="I186" s="6">
        <f>SUMIF(Ratings_Long!$A$2:$A$577,$A186,Ratings_Long!$P$2:$P$577)/COUNTIF(Ratings_Long!$A$2:$A$577,$A186)</f>
        <v>2.3333333333333335</v>
      </c>
      <c r="J186" s="6">
        <f>SUMIF(Ratings_Long!$A$2:$A$577,$A186,Ratings_Long!$Q$2:$Q$577)/COUNTIF(Ratings_Long!$A$2:$A$577,$A186)</f>
        <v>3</v>
      </c>
      <c r="K186" s="6">
        <f>SUMIF(Ratings_Long!$A$2:$A$577,$A186,Ratings_Long!$R$2:$R$577)/COUNTIF(Ratings_Long!$A$2:$A$577,$A186)</f>
        <v>2</v>
      </c>
      <c r="L186" s="6">
        <f>SUMIF(Ratings_Long!$A$2:$A$577,$A186,Ratings_Long!$S$2:$S$577)/COUNTIF(Ratings_Long!$A$2:$A$577,$A186)</f>
        <v>3</v>
      </c>
      <c r="M186" s="6">
        <f t="shared" si="15"/>
        <v>2.8333333333333335</v>
      </c>
      <c r="N186" s="6">
        <f t="shared" si="16"/>
        <v>2.7222222222222228</v>
      </c>
      <c r="O186" s="6">
        <f t="shared" si="17"/>
        <v>1</v>
      </c>
    </row>
    <row r="187" spans="1:15">
      <c r="A187" t="s">
        <v>571</v>
      </c>
      <c r="B187" t="s">
        <v>234</v>
      </c>
      <c r="C187" t="s">
        <v>23</v>
      </c>
      <c r="D187" t="s">
        <v>54</v>
      </c>
      <c r="E187" t="s">
        <v>229</v>
      </c>
      <c r="F187" s="6">
        <v>6.4516000000000004E-2</v>
      </c>
      <c r="G187" s="6">
        <f>SUMIF(Ratings_Long!$A$2:$A$577,$A187,Ratings_Long!$N$2:$N$577)/COUNTIF(Ratings_Long!$A$2:$A$577,$A187)</f>
        <v>2.6666666666666665</v>
      </c>
      <c r="H187" s="6">
        <f>SUMIF(Ratings_Long!$A$2:$A$577,$A187,Ratings_Long!$O$2:$O$577)/COUNTIF(Ratings_Long!$A$2:$A$577,$A187)</f>
        <v>2.3333333333333335</v>
      </c>
      <c r="I187" s="6">
        <f>SUMIF(Ratings_Long!$A$2:$A$577,$A187,Ratings_Long!$P$2:$P$577)/COUNTIF(Ratings_Long!$A$2:$A$577,$A187)</f>
        <v>3</v>
      </c>
      <c r="J187" s="6">
        <f>SUMIF(Ratings_Long!$A$2:$A$577,$A187,Ratings_Long!$Q$2:$Q$577)/COUNTIF(Ratings_Long!$A$2:$A$577,$A187)</f>
        <v>2.3333333333333335</v>
      </c>
      <c r="K187" s="6">
        <f>SUMIF(Ratings_Long!$A$2:$A$577,$A187,Ratings_Long!$R$2:$R$577)/COUNTIF(Ratings_Long!$A$2:$A$577,$A187)</f>
        <v>2.3333333333333335</v>
      </c>
      <c r="L187" s="6">
        <f>SUMIF(Ratings_Long!$A$2:$A$577,$A187,Ratings_Long!$S$2:$S$577)/COUNTIF(Ratings_Long!$A$2:$A$577,$A187)</f>
        <v>3</v>
      </c>
      <c r="M187" s="6">
        <f t="shared" si="15"/>
        <v>2.5833333333333335</v>
      </c>
      <c r="N187" s="6">
        <f t="shared" si="16"/>
        <v>2.6111111111111112</v>
      </c>
      <c r="O187" s="6">
        <f t="shared" si="17"/>
        <v>0.77777777777777768</v>
      </c>
    </row>
    <row r="188" spans="1:15">
      <c r="A188" t="s">
        <v>573</v>
      </c>
      <c r="B188" t="s">
        <v>239</v>
      </c>
      <c r="C188" t="s">
        <v>23</v>
      </c>
      <c r="D188" t="s">
        <v>54</v>
      </c>
      <c r="E188" t="s">
        <v>229</v>
      </c>
      <c r="F188" s="6">
        <v>6.8966E-2</v>
      </c>
      <c r="G188" s="6">
        <f>SUMIF(Ratings_Long!$A$2:$A$577,$A188,Ratings_Long!$N$2:$N$577)/COUNTIF(Ratings_Long!$A$2:$A$577,$A188)</f>
        <v>1.6666666666666667</v>
      </c>
      <c r="H188" s="6">
        <f>SUMIF(Ratings_Long!$A$2:$A$577,$A188,Ratings_Long!$O$2:$O$577)/COUNTIF(Ratings_Long!$A$2:$A$577,$A188)</f>
        <v>2.3333333333333335</v>
      </c>
      <c r="I188" s="6">
        <f>SUMIF(Ratings_Long!$A$2:$A$577,$A188,Ratings_Long!$P$2:$P$577)/COUNTIF(Ratings_Long!$A$2:$A$577,$A188)</f>
        <v>3</v>
      </c>
      <c r="J188" s="6">
        <f>SUMIF(Ratings_Long!$A$2:$A$577,$A188,Ratings_Long!$Q$2:$Q$577)/COUNTIF(Ratings_Long!$A$2:$A$577,$A188)</f>
        <v>2</v>
      </c>
      <c r="K188" s="6">
        <f>SUMIF(Ratings_Long!$A$2:$A$577,$A188,Ratings_Long!$R$2:$R$577)/COUNTIF(Ratings_Long!$A$2:$A$577,$A188)</f>
        <v>2.6666666666666665</v>
      </c>
      <c r="L188" s="6">
        <f>SUMIF(Ratings_Long!$A$2:$A$577,$A188,Ratings_Long!$S$2:$S$577)/COUNTIF(Ratings_Long!$A$2:$A$577,$A188)</f>
        <v>3</v>
      </c>
      <c r="M188" s="6">
        <f t="shared" si="15"/>
        <v>2.25</v>
      </c>
      <c r="N188" s="6">
        <f t="shared" si="16"/>
        <v>2.4444444444444442</v>
      </c>
      <c r="O188" s="6">
        <f t="shared" si="17"/>
        <v>0.11111111111111116</v>
      </c>
    </row>
    <row r="189" spans="1:15">
      <c r="A189" t="s">
        <v>575</v>
      </c>
      <c r="B189" t="s">
        <v>244</v>
      </c>
      <c r="C189" t="s">
        <v>23</v>
      </c>
      <c r="D189" t="s">
        <v>54</v>
      </c>
      <c r="E189" t="s">
        <v>229</v>
      </c>
      <c r="F189" s="6">
        <v>3.7037E-2</v>
      </c>
      <c r="G189" s="6">
        <f>SUMIF(Ratings_Long!$A$2:$A$577,$A189,Ratings_Long!$N$2:$N$577)/COUNTIF(Ratings_Long!$A$2:$A$577,$A189)</f>
        <v>3</v>
      </c>
      <c r="H189" s="6">
        <f>SUMIF(Ratings_Long!$A$2:$A$577,$A189,Ratings_Long!$O$2:$O$577)/COUNTIF(Ratings_Long!$A$2:$A$577,$A189)</f>
        <v>3</v>
      </c>
      <c r="I189" s="6">
        <f>SUMIF(Ratings_Long!$A$2:$A$577,$A189,Ratings_Long!$P$2:$P$577)/COUNTIF(Ratings_Long!$A$2:$A$577,$A189)</f>
        <v>3</v>
      </c>
      <c r="J189" s="6">
        <f>SUMIF(Ratings_Long!$A$2:$A$577,$A189,Ratings_Long!$Q$2:$Q$577)/COUNTIF(Ratings_Long!$A$2:$A$577,$A189)</f>
        <v>2.6666666666666665</v>
      </c>
      <c r="K189" s="6">
        <f>SUMIF(Ratings_Long!$A$2:$A$577,$A189,Ratings_Long!$R$2:$R$577)/COUNTIF(Ratings_Long!$A$2:$A$577,$A189)</f>
        <v>3</v>
      </c>
      <c r="L189" s="6">
        <f>SUMIF(Ratings_Long!$A$2:$A$577,$A189,Ratings_Long!$S$2:$S$577)/COUNTIF(Ratings_Long!$A$2:$A$577,$A189)</f>
        <v>3</v>
      </c>
      <c r="M189" s="6">
        <f t="shared" si="15"/>
        <v>2.9166666666666665</v>
      </c>
      <c r="N189" s="6">
        <f t="shared" si="16"/>
        <v>2.9444444444444442</v>
      </c>
      <c r="O189" s="6">
        <f t="shared" si="17"/>
        <v>1</v>
      </c>
    </row>
    <row r="190" spans="1:15">
      <c r="A190" t="s">
        <v>577</v>
      </c>
      <c r="B190" t="s">
        <v>249</v>
      </c>
      <c r="C190" t="s">
        <v>23</v>
      </c>
      <c r="D190" t="s">
        <v>54</v>
      </c>
      <c r="E190" t="s">
        <v>250</v>
      </c>
      <c r="F190" s="6">
        <v>8.3333000000000004E-2</v>
      </c>
      <c r="G190" s="6">
        <f>SUMIF(Ratings_Long!$A$2:$A$577,$A190,Ratings_Long!$N$2:$N$577)/COUNTIF(Ratings_Long!$A$2:$A$577,$A190)</f>
        <v>2.3333333333333335</v>
      </c>
      <c r="H190" s="6">
        <f>SUMIF(Ratings_Long!$A$2:$A$577,$A190,Ratings_Long!$O$2:$O$577)/COUNTIF(Ratings_Long!$A$2:$A$577,$A190)</f>
        <v>3</v>
      </c>
      <c r="I190" s="6">
        <f>SUMIF(Ratings_Long!$A$2:$A$577,$A190,Ratings_Long!$P$2:$P$577)/COUNTIF(Ratings_Long!$A$2:$A$577,$A190)</f>
        <v>2.6666666666666665</v>
      </c>
      <c r="J190" s="6">
        <f>SUMIF(Ratings_Long!$A$2:$A$577,$A190,Ratings_Long!$Q$2:$Q$577)/COUNTIF(Ratings_Long!$A$2:$A$577,$A190)</f>
        <v>2.3333333333333335</v>
      </c>
      <c r="K190" s="6">
        <f>SUMIF(Ratings_Long!$A$2:$A$577,$A190,Ratings_Long!$R$2:$R$577)/COUNTIF(Ratings_Long!$A$2:$A$577,$A190)</f>
        <v>2.6666666666666665</v>
      </c>
      <c r="L190" s="6">
        <f>SUMIF(Ratings_Long!$A$2:$A$577,$A190,Ratings_Long!$S$2:$S$577)/COUNTIF(Ratings_Long!$A$2:$A$577,$A190)</f>
        <v>2.6666666666666665</v>
      </c>
      <c r="M190" s="6">
        <f t="shared" si="15"/>
        <v>2.5833333333333335</v>
      </c>
      <c r="N190" s="6">
        <f t="shared" si="16"/>
        <v>2.6111111111111112</v>
      </c>
      <c r="O190" s="6">
        <f t="shared" si="17"/>
        <v>0.55555555555555558</v>
      </c>
    </row>
    <row r="191" spans="1:15">
      <c r="A191" t="s">
        <v>579</v>
      </c>
      <c r="B191" t="s">
        <v>255</v>
      </c>
      <c r="C191" t="s">
        <v>23</v>
      </c>
      <c r="D191" t="s">
        <v>54</v>
      </c>
      <c r="E191" t="s">
        <v>250</v>
      </c>
      <c r="F191" s="6">
        <v>6.8966E-2</v>
      </c>
      <c r="G191" s="6">
        <f>SUMIF(Ratings_Long!$A$2:$A$577,$A191,Ratings_Long!$N$2:$N$577)/COUNTIF(Ratings_Long!$A$2:$A$577,$A191)</f>
        <v>2.3333333333333335</v>
      </c>
      <c r="H191" s="6">
        <f>SUMIF(Ratings_Long!$A$2:$A$577,$A191,Ratings_Long!$O$2:$O$577)/COUNTIF(Ratings_Long!$A$2:$A$577,$A191)</f>
        <v>3</v>
      </c>
      <c r="I191" s="6">
        <f>SUMIF(Ratings_Long!$A$2:$A$577,$A191,Ratings_Long!$P$2:$P$577)/COUNTIF(Ratings_Long!$A$2:$A$577,$A191)</f>
        <v>3</v>
      </c>
      <c r="J191" s="6">
        <f>SUMIF(Ratings_Long!$A$2:$A$577,$A191,Ratings_Long!$Q$2:$Q$577)/COUNTIF(Ratings_Long!$A$2:$A$577,$A191)</f>
        <v>2.6666666666666665</v>
      </c>
      <c r="K191" s="6">
        <f>SUMIF(Ratings_Long!$A$2:$A$577,$A191,Ratings_Long!$R$2:$R$577)/COUNTIF(Ratings_Long!$A$2:$A$577,$A191)</f>
        <v>2.6666666666666665</v>
      </c>
      <c r="L191" s="6">
        <f>SUMIF(Ratings_Long!$A$2:$A$577,$A191,Ratings_Long!$S$2:$S$577)/COUNTIF(Ratings_Long!$A$2:$A$577,$A191)</f>
        <v>3</v>
      </c>
      <c r="M191" s="6">
        <f t="shared" si="15"/>
        <v>2.75</v>
      </c>
      <c r="N191" s="6">
        <f t="shared" si="16"/>
        <v>2.7777777777777772</v>
      </c>
      <c r="O191" s="6">
        <f t="shared" si="17"/>
        <v>0.55555555555555558</v>
      </c>
    </row>
    <row r="192" spans="1:15">
      <c r="A192" t="s">
        <v>581</v>
      </c>
      <c r="B192" t="s">
        <v>260</v>
      </c>
      <c r="C192" t="s">
        <v>23</v>
      </c>
      <c r="D192" t="s">
        <v>54</v>
      </c>
      <c r="E192" t="s">
        <v>250</v>
      </c>
      <c r="F192" s="6">
        <v>8.3333000000000004E-2</v>
      </c>
      <c r="G192" s="6">
        <f>SUMIF(Ratings_Long!$A$2:$A$577,$A192,Ratings_Long!$N$2:$N$577)/COUNTIF(Ratings_Long!$A$2:$A$577,$A192)</f>
        <v>2.6666666666666665</v>
      </c>
      <c r="H192" s="6">
        <f>SUMIF(Ratings_Long!$A$2:$A$577,$A192,Ratings_Long!$O$2:$O$577)/COUNTIF(Ratings_Long!$A$2:$A$577,$A192)</f>
        <v>3</v>
      </c>
      <c r="I192" s="6">
        <f>SUMIF(Ratings_Long!$A$2:$A$577,$A192,Ratings_Long!$P$2:$P$577)/COUNTIF(Ratings_Long!$A$2:$A$577,$A192)</f>
        <v>3</v>
      </c>
      <c r="J192" s="6">
        <f>SUMIF(Ratings_Long!$A$2:$A$577,$A192,Ratings_Long!$Q$2:$Q$577)/COUNTIF(Ratings_Long!$A$2:$A$577,$A192)</f>
        <v>2.3333333333333335</v>
      </c>
      <c r="K192" s="6">
        <f>SUMIF(Ratings_Long!$A$2:$A$577,$A192,Ratings_Long!$R$2:$R$577)/COUNTIF(Ratings_Long!$A$2:$A$577,$A192)</f>
        <v>3</v>
      </c>
      <c r="L192" s="6">
        <f>SUMIF(Ratings_Long!$A$2:$A$577,$A192,Ratings_Long!$S$2:$S$577)/COUNTIF(Ratings_Long!$A$2:$A$577,$A192)</f>
        <v>2.3333333333333335</v>
      </c>
      <c r="M192" s="6">
        <f t="shared" si="15"/>
        <v>2.75</v>
      </c>
      <c r="N192" s="6">
        <f t="shared" si="16"/>
        <v>2.7222222222222219</v>
      </c>
      <c r="O192" s="6">
        <f t="shared" si="17"/>
        <v>0.77777777777777768</v>
      </c>
    </row>
    <row r="193" spans="1:15">
      <c r="A193" t="s">
        <v>583</v>
      </c>
      <c r="B193" t="s">
        <v>265</v>
      </c>
      <c r="C193" t="s">
        <v>23</v>
      </c>
      <c r="D193" t="s">
        <v>54</v>
      </c>
      <c r="E193" t="s">
        <v>250</v>
      </c>
      <c r="F193" s="6">
        <v>6.8966E-2</v>
      </c>
      <c r="G193" s="6">
        <f>SUMIF(Ratings_Long!$A$2:$A$577,$A193,Ratings_Long!$N$2:$N$577)/COUNTIF(Ratings_Long!$A$2:$A$577,$A193)</f>
        <v>2</v>
      </c>
      <c r="H193" s="6">
        <f>SUMIF(Ratings_Long!$A$2:$A$577,$A193,Ratings_Long!$O$2:$O$577)/COUNTIF(Ratings_Long!$A$2:$A$577,$A193)</f>
        <v>3</v>
      </c>
      <c r="I193" s="6">
        <f>SUMIF(Ratings_Long!$A$2:$A$577,$A193,Ratings_Long!$P$2:$P$577)/COUNTIF(Ratings_Long!$A$2:$A$577,$A193)</f>
        <v>3</v>
      </c>
      <c r="J193" s="6">
        <f>SUMIF(Ratings_Long!$A$2:$A$577,$A193,Ratings_Long!$Q$2:$Q$577)/COUNTIF(Ratings_Long!$A$2:$A$577,$A193)</f>
        <v>2.6666666666666665</v>
      </c>
      <c r="K193" s="6">
        <f>SUMIF(Ratings_Long!$A$2:$A$577,$A193,Ratings_Long!$R$2:$R$577)/COUNTIF(Ratings_Long!$A$2:$A$577,$A193)</f>
        <v>3</v>
      </c>
      <c r="L193" s="6">
        <f>SUMIF(Ratings_Long!$A$2:$A$577,$A193,Ratings_Long!$S$2:$S$577)/COUNTIF(Ratings_Long!$A$2:$A$577,$A193)</f>
        <v>3</v>
      </c>
      <c r="M193" s="6">
        <f t="shared" si="15"/>
        <v>2.6666666666666665</v>
      </c>
      <c r="N193" s="6">
        <f t="shared" si="16"/>
        <v>2.7777777777777772</v>
      </c>
      <c r="O193" s="6">
        <f t="shared" si="17"/>
        <v>0.33333333333333326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
  <sheetViews>
    <sheetView workbookViewId="0"/>
  </sheetViews>
  <sheetFormatPr baseColWidth="10" defaultColWidth="8.83203125" defaultRowHeight="14"/>
  <cols>
    <col min="1" max="1" width="67" customWidth="1"/>
    <col min="2" max="4" width="22" customWidth="1"/>
    <col min="5" max="5" width="67" customWidth="1"/>
  </cols>
  <sheetData>
    <row r="1" spans="1:5" ht="16">
      <c r="A1" s="5" t="s">
        <v>612</v>
      </c>
      <c r="B1" s="5" t="s">
        <v>613</v>
      </c>
      <c r="C1" s="5" t="s">
        <v>614</v>
      </c>
      <c r="D1" s="5" t="s">
        <v>615</v>
      </c>
      <c r="E1" s="5" t="s">
        <v>57</v>
      </c>
    </row>
    <row r="2" spans="1:5" ht="16">
      <c r="A2" s="1" t="s">
        <v>616</v>
      </c>
      <c r="B2" s="2">
        <v>0.78620500000000004</v>
      </c>
      <c r="C2" s="2">
        <v>0.67</v>
      </c>
      <c r="D2" s="1" t="s">
        <v>617</v>
      </c>
      <c r="E2" s="1" t="s">
        <v>618</v>
      </c>
    </row>
    <row r="3" spans="1:5" ht="16">
      <c r="A3" s="1" t="s">
        <v>619</v>
      </c>
      <c r="B3" s="2">
        <v>0.70218999999999998</v>
      </c>
      <c r="C3" s="2">
        <v>0.67</v>
      </c>
      <c r="D3" s="1" t="s">
        <v>617</v>
      </c>
      <c r="E3" s="1" t="s">
        <v>618</v>
      </c>
    </row>
    <row r="4" spans="1:5" ht="16">
      <c r="A4" s="1" t="s">
        <v>620</v>
      </c>
      <c r="B4" s="2">
        <v>0.69719100000000001</v>
      </c>
      <c r="C4" s="2">
        <v>0.67</v>
      </c>
      <c r="D4" s="1" t="s">
        <v>617</v>
      </c>
      <c r="E4" s="1" t="s">
        <v>618</v>
      </c>
    </row>
    <row r="5" spans="1:5" ht="16">
      <c r="A5" s="1" t="s">
        <v>621</v>
      </c>
      <c r="B5" s="2">
        <v>0.80319099999999999</v>
      </c>
      <c r="C5" s="2">
        <v>0.67</v>
      </c>
      <c r="D5" s="1" t="s">
        <v>617</v>
      </c>
      <c r="E5" s="1" t="s">
        <v>618</v>
      </c>
    </row>
    <row r="6" spans="1:5" ht="16">
      <c r="A6" s="1" t="s">
        <v>622</v>
      </c>
      <c r="B6" s="2">
        <v>0.71479899999999996</v>
      </c>
      <c r="C6" s="2">
        <v>0.67</v>
      </c>
      <c r="D6" s="1" t="s">
        <v>617</v>
      </c>
      <c r="E6" s="1" t="s">
        <v>618</v>
      </c>
    </row>
    <row r="7" spans="1:5" ht="16">
      <c r="A7" s="1" t="s">
        <v>623</v>
      </c>
      <c r="B7" s="2">
        <v>0.69357000000000002</v>
      </c>
      <c r="C7" s="2">
        <v>0.67</v>
      </c>
      <c r="D7" s="1" t="s">
        <v>617</v>
      </c>
      <c r="E7" s="1" t="s">
        <v>618</v>
      </c>
    </row>
    <row r="8" spans="1:5" ht="16">
      <c r="A8" s="1" t="s">
        <v>624</v>
      </c>
      <c r="B8" s="2">
        <v>0.68359499999999995</v>
      </c>
      <c r="C8" s="2">
        <v>0.6</v>
      </c>
      <c r="D8" s="1" t="s">
        <v>617</v>
      </c>
      <c r="E8" s="1" t="s">
        <v>625</v>
      </c>
    </row>
    <row r="9" spans="1:5" ht="16">
      <c r="A9" s="1" t="s">
        <v>1</v>
      </c>
      <c r="B9" s="2">
        <v>192</v>
      </c>
      <c r="C9" s="2">
        <v>150</v>
      </c>
      <c r="D9" s="1" t="s">
        <v>617</v>
      </c>
      <c r="E9" s="1" t="s">
        <v>626</v>
      </c>
    </row>
    <row r="10" spans="1:5" ht="16">
      <c r="A10" s="1" t="s">
        <v>627</v>
      </c>
      <c r="B10" s="2">
        <v>3</v>
      </c>
      <c r="C10" s="2">
        <v>2</v>
      </c>
      <c r="D10" s="1" t="s">
        <v>617</v>
      </c>
      <c r="E10" s="1" t="s">
        <v>626</v>
      </c>
    </row>
  </sheetData>
  <conditionalFormatting sqref="D2:D10">
    <cfRule type="expression" dxfId="1" priority="1">
      <formula>D2="PASS"</formula>
    </cfRule>
    <cfRule type="expression" dxfId="0" priority="2">
      <formula>D2="FAIL"</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9"/>
  <sheetViews>
    <sheetView workbookViewId="0"/>
  </sheetViews>
  <sheetFormatPr baseColWidth="10" defaultColWidth="8.83203125" defaultRowHeight="14"/>
  <cols>
    <col min="1" max="1" width="17" customWidth="1"/>
    <col min="2" max="2" width="42" customWidth="1"/>
    <col min="3" max="3" width="24" customWidth="1"/>
    <col min="4" max="13" width="25" customWidth="1"/>
  </cols>
  <sheetData>
    <row r="1" spans="1:13" ht="32">
      <c r="A1" s="5" t="s">
        <v>126</v>
      </c>
      <c r="B1" s="5" t="s">
        <v>127</v>
      </c>
      <c r="C1" s="5" t="s">
        <v>128</v>
      </c>
      <c r="D1" s="5" t="s">
        <v>628</v>
      </c>
      <c r="E1" s="5" t="s">
        <v>629</v>
      </c>
      <c r="F1" s="5" t="s">
        <v>630</v>
      </c>
      <c r="G1" s="5" t="s">
        <v>631</v>
      </c>
      <c r="H1" s="5" t="s">
        <v>632</v>
      </c>
      <c r="I1" s="5" t="s">
        <v>633</v>
      </c>
      <c r="J1" s="5" t="s">
        <v>634</v>
      </c>
      <c r="K1" s="5" t="s">
        <v>635</v>
      </c>
      <c r="L1" s="5" t="s">
        <v>636</v>
      </c>
      <c r="M1" s="5" t="s">
        <v>637</v>
      </c>
    </row>
    <row r="2" spans="1:13" ht="15">
      <c r="A2" s="1" t="s">
        <v>16</v>
      </c>
      <c r="B2" s="1" t="s">
        <v>43</v>
      </c>
      <c r="C2" s="1" t="s">
        <v>44</v>
      </c>
      <c r="D2" s="13">
        <v>24</v>
      </c>
      <c r="E2" s="2">
        <v>-0.1</v>
      </c>
      <c r="F2" s="2">
        <v>-9.8552000000000001E-2</v>
      </c>
      <c r="G2" s="2">
        <v>1.4480000000000001E-3</v>
      </c>
      <c r="H2" s="2">
        <v>0.47222199999999998</v>
      </c>
      <c r="I2" s="2">
        <v>2.6805560000000002</v>
      </c>
      <c r="J2" s="2">
        <v>2.6111110000000002</v>
      </c>
      <c r="K2" s="2">
        <v>0.66666700000000001</v>
      </c>
      <c r="L2" s="2">
        <v>2.5555560000000002</v>
      </c>
      <c r="M2" s="2">
        <v>2.5972219999999999</v>
      </c>
    </row>
    <row r="3" spans="1:13" ht="15">
      <c r="A3" s="1" t="s">
        <v>17</v>
      </c>
      <c r="B3" s="1" t="s">
        <v>45</v>
      </c>
      <c r="C3" s="1" t="s">
        <v>46</v>
      </c>
      <c r="D3" s="13">
        <v>24</v>
      </c>
      <c r="E3" s="2">
        <v>-0.14099999999999999</v>
      </c>
      <c r="F3" s="2">
        <v>-0.14100299999999999</v>
      </c>
      <c r="G3" s="2">
        <v>-3.0000000000000001E-6</v>
      </c>
      <c r="H3" s="2">
        <v>0.19444400000000001</v>
      </c>
      <c r="I3" s="2">
        <v>2.5138889999999998</v>
      </c>
      <c r="J3" s="2">
        <v>2.6805560000000002</v>
      </c>
      <c r="K3" s="2">
        <v>0.16666700000000001</v>
      </c>
      <c r="L3" s="2">
        <v>1.9027780000000001</v>
      </c>
      <c r="M3" s="2">
        <v>2.3333330000000001</v>
      </c>
    </row>
    <row r="4" spans="1:13" ht="15">
      <c r="A4" s="1" t="s">
        <v>18</v>
      </c>
      <c r="B4" s="1" t="s">
        <v>47</v>
      </c>
      <c r="C4" s="1" t="s">
        <v>48</v>
      </c>
      <c r="D4" s="13">
        <v>24</v>
      </c>
      <c r="E4" s="2">
        <v>-0.13200000000000001</v>
      </c>
      <c r="F4" s="2">
        <v>-0.129884</v>
      </c>
      <c r="G4" s="2">
        <v>2.1159999999999998E-3</v>
      </c>
      <c r="H4" s="2">
        <v>0.38888899999999998</v>
      </c>
      <c r="I4" s="2">
        <v>2.6944439999999998</v>
      </c>
      <c r="J4" s="2">
        <v>2.6527780000000001</v>
      </c>
      <c r="K4" s="2">
        <v>0.55555600000000005</v>
      </c>
      <c r="L4" s="2">
        <v>1.6944440000000001</v>
      </c>
      <c r="M4" s="2">
        <v>1.9444440000000001</v>
      </c>
    </row>
    <row r="5" spans="1:13" ht="15">
      <c r="A5" s="1" t="s">
        <v>19</v>
      </c>
      <c r="B5" s="1" t="s">
        <v>49</v>
      </c>
      <c r="C5" s="1" t="s">
        <v>50</v>
      </c>
      <c r="D5" s="13">
        <v>24</v>
      </c>
      <c r="E5" s="2">
        <v>-7.4999999999999997E-2</v>
      </c>
      <c r="F5" s="2">
        <v>-7.7464000000000005E-2</v>
      </c>
      <c r="G5" s="2">
        <v>-2.464E-3</v>
      </c>
      <c r="H5" s="2">
        <v>0.61111099999999996</v>
      </c>
      <c r="I5" s="2">
        <v>2.625</v>
      </c>
      <c r="J5" s="2">
        <v>2.7777780000000001</v>
      </c>
      <c r="K5" s="2">
        <v>0.72222200000000003</v>
      </c>
      <c r="L5" s="2">
        <v>2.2222219999999999</v>
      </c>
      <c r="M5" s="2">
        <v>2.4583330000000001</v>
      </c>
    </row>
    <row r="6" spans="1:13" ht="15">
      <c r="A6" s="1" t="s">
        <v>20</v>
      </c>
      <c r="B6" s="1" t="s">
        <v>51</v>
      </c>
      <c r="C6" s="1" t="s">
        <v>50</v>
      </c>
      <c r="D6" s="13">
        <v>24</v>
      </c>
      <c r="E6" s="2">
        <v>-1.9E-2</v>
      </c>
      <c r="F6" s="2">
        <v>-2.0076E-2</v>
      </c>
      <c r="G6" s="2">
        <v>-1.0759999999999999E-3</v>
      </c>
      <c r="H6" s="2">
        <v>1.013889</v>
      </c>
      <c r="I6" s="2">
        <v>1.986111</v>
      </c>
      <c r="J6" s="2">
        <v>2.125</v>
      </c>
      <c r="K6" s="2">
        <v>0.95833299999999999</v>
      </c>
      <c r="L6" s="2">
        <v>2.0277780000000001</v>
      </c>
      <c r="M6" s="2">
        <v>2.4583330000000001</v>
      </c>
    </row>
    <row r="7" spans="1:13" ht="15">
      <c r="A7" s="1" t="s">
        <v>21</v>
      </c>
      <c r="B7" s="1" t="s">
        <v>52</v>
      </c>
      <c r="C7" s="1" t="s">
        <v>50</v>
      </c>
      <c r="D7" s="13">
        <v>24</v>
      </c>
      <c r="E7" s="2">
        <v>-6.0000000000000001E-3</v>
      </c>
      <c r="F7" s="2">
        <v>-5.8300000000000001E-3</v>
      </c>
      <c r="G7" s="2">
        <v>1.7000000000000001E-4</v>
      </c>
      <c r="H7" s="2">
        <v>1.3055559999999999</v>
      </c>
      <c r="I7" s="2">
        <v>2.0138889999999998</v>
      </c>
      <c r="J7" s="2">
        <v>2.0555560000000002</v>
      </c>
      <c r="K7" s="2">
        <v>1.4444440000000001</v>
      </c>
      <c r="L7" s="2">
        <v>1.9722219999999999</v>
      </c>
      <c r="M7" s="2">
        <v>2.3194439999999998</v>
      </c>
    </row>
    <row r="8" spans="1:13" ht="15">
      <c r="A8" s="1" t="s">
        <v>22</v>
      </c>
      <c r="B8" s="1" t="s">
        <v>53</v>
      </c>
      <c r="C8" s="1" t="s">
        <v>50</v>
      </c>
      <c r="D8" s="13">
        <v>24</v>
      </c>
      <c r="E8" s="2">
        <v>-0.10199999999999999</v>
      </c>
      <c r="F8" s="2">
        <v>-0.102023</v>
      </c>
      <c r="G8" s="2">
        <v>-2.3E-5</v>
      </c>
      <c r="H8" s="2">
        <v>0.48611100000000002</v>
      </c>
      <c r="I8" s="2">
        <v>2.6805560000000002</v>
      </c>
      <c r="J8" s="2">
        <v>2.7638889999999998</v>
      </c>
      <c r="K8" s="2">
        <v>0.61111099999999996</v>
      </c>
      <c r="L8" s="2">
        <v>2.4444439999999998</v>
      </c>
      <c r="M8" s="2">
        <v>2.5138889999999998</v>
      </c>
    </row>
    <row r="9" spans="1:13" ht="15">
      <c r="A9" s="1" t="s">
        <v>23</v>
      </c>
      <c r="B9" s="1" t="s">
        <v>54</v>
      </c>
      <c r="C9" s="1" t="s">
        <v>46</v>
      </c>
      <c r="D9" s="13">
        <v>24</v>
      </c>
      <c r="E9" s="2">
        <v>6.9000000000000006E-2</v>
      </c>
      <c r="F9" s="2">
        <v>6.7593E-2</v>
      </c>
      <c r="G9" s="2">
        <v>-1.407E-3</v>
      </c>
      <c r="H9" s="2">
        <v>2.3611110000000002</v>
      </c>
      <c r="I9" s="2">
        <v>2.7361110000000002</v>
      </c>
      <c r="J9" s="2">
        <v>2.8055560000000002</v>
      </c>
      <c r="K9" s="2">
        <v>2.4305560000000002</v>
      </c>
      <c r="L9" s="2">
        <v>2.7361110000000002</v>
      </c>
      <c r="M9" s="2">
        <v>2.7777780000000001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Rubric</vt:lpstr>
      <vt:lpstr>Conditions</vt:lpstr>
      <vt:lpstr>Marker_Lexicon</vt:lpstr>
      <vt:lpstr>Generations</vt:lpstr>
      <vt:lpstr>Ratings_Long</vt:lpstr>
      <vt:lpstr>Item_Summary</vt:lpstr>
      <vt:lpstr>Validation</vt:lpstr>
      <vt:lpstr>Condition_Summary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Animesh Mishra</cp:lastModifiedBy>
  <dcterms:modified xsi:type="dcterms:W3CDTF">2026-07-19T15:49:29Z</dcterms:modified>
</cp:coreProperties>
</file>